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dhega to badhega\Git Lab folder\Project 1- AI Productivity Improvement\"/>
    </mc:Choice>
  </mc:AlternateContent>
  <xr:revisionPtr revIDLastSave="0" documentId="13_ncr:1_{A9E57DA0-05AA-4CE6-A989-00D41822041A}" xr6:coauthVersionLast="47" xr6:coauthVersionMax="47" xr10:uidLastSave="{00000000-0000-0000-0000-000000000000}"/>
  <bookViews>
    <workbookView xWindow="-108" yWindow="-108" windowWidth="23256" windowHeight="12456" tabRatio="968" firstSheet="1" activeTab="3" xr2:uid="{3624870A-2EC2-46A0-9E48-EF2DC3A9F2A1}"/>
  </bookViews>
  <sheets>
    <sheet name="Sheet1" sheetId="1" state="hidden" r:id="rId1"/>
    <sheet name="Assessment Response" sheetId="8" r:id="rId2"/>
    <sheet name="Productivity Gain" sheetId="6" r:id="rId3"/>
    <sheet name="Python Output" sheetId="9" r:id="rId4"/>
  </sheets>
  <definedNames>
    <definedName name="_xlnm._FilterDatabase" localSheetId="2" hidden="1">'Productivity Gain'!$A$1:$S$52</definedName>
    <definedName name="_xlnm._FilterDatabase" localSheetId="0" hidden="1">Sheet1!$A$1:$AT$51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52" i="6" l="1"/>
  <c r="K52" i="6"/>
  <c r="AU2" i="9"/>
  <c r="I3" i="6"/>
  <c r="J3" i="6" s="1"/>
  <c r="I4" i="6"/>
  <c r="J4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N12" i="6" s="1"/>
  <c r="O12" i="6" s="1"/>
  <c r="P12" i="6" s="1"/>
  <c r="Q12" i="6" s="1"/>
  <c r="T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N19" i="6" s="1"/>
  <c r="O19" i="6" s="1"/>
  <c r="P19" i="6" s="1"/>
  <c r="Q19" i="6" s="1"/>
  <c r="T19" i="6" s="1"/>
  <c r="I20" i="6"/>
  <c r="J20" i="6" s="1"/>
  <c r="I21" i="6"/>
  <c r="N21" i="6" s="1"/>
  <c r="O21" i="6" s="1"/>
  <c r="P21" i="6" s="1"/>
  <c r="Q21" i="6" s="1"/>
  <c r="T21" i="6" s="1"/>
  <c r="I22" i="6"/>
  <c r="J22" i="6" s="1"/>
  <c r="I23" i="6"/>
  <c r="J23" i="6" s="1"/>
  <c r="I24" i="6"/>
  <c r="J24" i="6" s="1"/>
  <c r="I25" i="6"/>
  <c r="N25" i="6" s="1"/>
  <c r="O25" i="6" s="1"/>
  <c r="P25" i="6" s="1"/>
  <c r="Q25" i="6" s="1"/>
  <c r="T25" i="6" s="1"/>
  <c r="I26" i="6"/>
  <c r="J26" i="6" s="1"/>
  <c r="I27" i="6"/>
  <c r="J27" i="6" s="1"/>
  <c r="I28" i="6"/>
  <c r="J28" i="6" s="1"/>
  <c r="I29" i="6"/>
  <c r="J29" i="6" s="1"/>
  <c r="I30" i="6"/>
  <c r="I31" i="6"/>
  <c r="J31" i="6" s="1"/>
  <c r="I32" i="6"/>
  <c r="J32" i="6" s="1"/>
  <c r="I33" i="6"/>
  <c r="J33" i="6" s="1"/>
  <c r="I34" i="6"/>
  <c r="J34" i="6" s="1"/>
  <c r="I35" i="6"/>
  <c r="N35" i="6" s="1"/>
  <c r="O35" i="6" s="1"/>
  <c r="P35" i="6" s="1"/>
  <c r="Q35" i="6" s="1"/>
  <c r="T35" i="6" s="1"/>
  <c r="I36" i="6"/>
  <c r="J36" i="6" s="1"/>
  <c r="I37" i="6"/>
  <c r="J37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J43" i="6" s="1"/>
  <c r="I44" i="6"/>
  <c r="J44" i="6" s="1"/>
  <c r="I45" i="6"/>
  <c r="N45" i="6" s="1"/>
  <c r="O45" i="6" s="1"/>
  <c r="P45" i="6" s="1"/>
  <c r="Q45" i="6" s="1"/>
  <c r="T45" i="6" s="1"/>
  <c r="I46" i="6"/>
  <c r="J46" i="6" s="1"/>
  <c r="I47" i="6"/>
  <c r="J47" i="6" s="1"/>
  <c r="I48" i="6"/>
  <c r="J48" i="6" s="1"/>
  <c r="I49" i="6"/>
  <c r="N49" i="6" s="1"/>
  <c r="O49" i="6" s="1"/>
  <c r="P49" i="6" s="1"/>
  <c r="Q49" i="6" s="1"/>
  <c r="T49" i="6" s="1"/>
  <c r="I50" i="6"/>
  <c r="J50" i="6" s="1"/>
  <c r="I51" i="6"/>
  <c r="J51" i="6" s="1"/>
  <c r="I2" i="6"/>
  <c r="J2" i="6" s="1"/>
  <c r="N31" i="6" l="1"/>
  <c r="O31" i="6" s="1"/>
  <c r="P31" i="6" s="1"/>
  <c r="Q31" i="6" s="1"/>
  <c r="T31" i="6" s="1"/>
  <c r="N34" i="6"/>
  <c r="O34" i="6" s="1"/>
  <c r="P34" i="6" s="1"/>
  <c r="Q34" i="6" s="1"/>
  <c r="T34" i="6" s="1"/>
  <c r="N26" i="6"/>
  <c r="O26" i="6" s="1"/>
  <c r="P26" i="6" s="1"/>
  <c r="Q26" i="6" s="1"/>
  <c r="T26" i="6" s="1"/>
  <c r="N23" i="6"/>
  <c r="O23" i="6" s="1"/>
  <c r="P23" i="6" s="1"/>
  <c r="Q23" i="6" s="1"/>
  <c r="T23" i="6" s="1"/>
  <c r="N50" i="6"/>
  <c r="O50" i="6" s="1"/>
  <c r="P50" i="6" s="1"/>
  <c r="Q50" i="6" s="1"/>
  <c r="T50" i="6" s="1"/>
  <c r="N18" i="6"/>
  <c r="O18" i="6" s="1"/>
  <c r="P18" i="6" s="1"/>
  <c r="Q18" i="6" s="1"/>
  <c r="T18" i="6" s="1"/>
  <c r="N47" i="6"/>
  <c r="O47" i="6" s="1"/>
  <c r="P47" i="6" s="1"/>
  <c r="Q47" i="6" s="1"/>
  <c r="T47" i="6" s="1"/>
  <c r="N15" i="6"/>
  <c r="O15" i="6" s="1"/>
  <c r="P15" i="6" s="1"/>
  <c r="Q15" i="6" s="1"/>
  <c r="T15" i="6" s="1"/>
  <c r="N42" i="6"/>
  <c r="O42" i="6" s="1"/>
  <c r="P42" i="6" s="1"/>
  <c r="Q42" i="6" s="1"/>
  <c r="T42" i="6" s="1"/>
  <c r="N10" i="6"/>
  <c r="O10" i="6" s="1"/>
  <c r="P10" i="6" s="1"/>
  <c r="Q10" i="6" s="1"/>
  <c r="T10" i="6" s="1"/>
  <c r="N39" i="6"/>
  <c r="O39" i="6" s="1"/>
  <c r="P39" i="6" s="1"/>
  <c r="Q39" i="6" s="1"/>
  <c r="T39" i="6" s="1"/>
  <c r="N7" i="6"/>
  <c r="O7" i="6" s="1"/>
  <c r="P7" i="6" s="1"/>
  <c r="Q7" i="6" s="1"/>
  <c r="T7" i="6" s="1"/>
  <c r="N41" i="6"/>
  <c r="O41" i="6" s="1"/>
  <c r="P41" i="6" s="1"/>
  <c r="Q41" i="6" s="1"/>
  <c r="T41" i="6" s="1"/>
  <c r="N33" i="6"/>
  <c r="O33" i="6" s="1"/>
  <c r="P33" i="6" s="1"/>
  <c r="Q33" i="6" s="1"/>
  <c r="T33" i="6" s="1"/>
  <c r="N17" i="6"/>
  <c r="O17" i="6" s="1"/>
  <c r="P17" i="6" s="1"/>
  <c r="Q17" i="6" s="1"/>
  <c r="T17" i="6" s="1"/>
  <c r="N9" i="6"/>
  <c r="O9" i="6" s="1"/>
  <c r="P9" i="6" s="1"/>
  <c r="Q9" i="6" s="1"/>
  <c r="T9" i="6" s="1"/>
  <c r="N48" i="6"/>
  <c r="O48" i="6" s="1"/>
  <c r="P48" i="6" s="1"/>
  <c r="Q48" i="6" s="1"/>
  <c r="T48" i="6" s="1"/>
  <c r="N40" i="6"/>
  <c r="O40" i="6" s="1"/>
  <c r="P40" i="6" s="1"/>
  <c r="Q40" i="6" s="1"/>
  <c r="T40" i="6" s="1"/>
  <c r="N32" i="6"/>
  <c r="O32" i="6" s="1"/>
  <c r="P32" i="6" s="1"/>
  <c r="Q32" i="6" s="1"/>
  <c r="T32" i="6" s="1"/>
  <c r="N24" i="6"/>
  <c r="O24" i="6" s="1"/>
  <c r="P24" i="6" s="1"/>
  <c r="Q24" i="6" s="1"/>
  <c r="T24" i="6" s="1"/>
  <c r="N16" i="6"/>
  <c r="O16" i="6" s="1"/>
  <c r="P16" i="6" s="1"/>
  <c r="Q16" i="6" s="1"/>
  <c r="T16" i="6" s="1"/>
  <c r="N8" i="6"/>
  <c r="O8" i="6" s="1"/>
  <c r="P8" i="6" s="1"/>
  <c r="Q8" i="6" s="1"/>
  <c r="T8" i="6" s="1"/>
  <c r="N46" i="6"/>
  <c r="O46" i="6" s="1"/>
  <c r="P46" i="6" s="1"/>
  <c r="Q46" i="6" s="1"/>
  <c r="T46" i="6" s="1"/>
  <c r="N38" i="6"/>
  <c r="O38" i="6" s="1"/>
  <c r="P38" i="6" s="1"/>
  <c r="Q38" i="6" s="1"/>
  <c r="T38" i="6" s="1"/>
  <c r="N30" i="6"/>
  <c r="O30" i="6" s="1"/>
  <c r="P30" i="6" s="1"/>
  <c r="Q30" i="6" s="1"/>
  <c r="T30" i="6" s="1"/>
  <c r="N22" i="6"/>
  <c r="O22" i="6" s="1"/>
  <c r="P22" i="6" s="1"/>
  <c r="Q22" i="6" s="1"/>
  <c r="T22" i="6" s="1"/>
  <c r="N14" i="6"/>
  <c r="O14" i="6" s="1"/>
  <c r="P14" i="6" s="1"/>
  <c r="Q14" i="6" s="1"/>
  <c r="T14" i="6" s="1"/>
  <c r="N6" i="6"/>
  <c r="O6" i="6" s="1"/>
  <c r="P6" i="6" s="1"/>
  <c r="Q6" i="6" s="1"/>
  <c r="T6" i="6" s="1"/>
  <c r="N37" i="6"/>
  <c r="O37" i="6" s="1"/>
  <c r="P37" i="6" s="1"/>
  <c r="Q37" i="6" s="1"/>
  <c r="T37" i="6" s="1"/>
  <c r="N29" i="6"/>
  <c r="O29" i="6" s="1"/>
  <c r="P29" i="6" s="1"/>
  <c r="Q29" i="6" s="1"/>
  <c r="T29" i="6" s="1"/>
  <c r="N13" i="6"/>
  <c r="O13" i="6" s="1"/>
  <c r="P13" i="6" s="1"/>
  <c r="Q13" i="6" s="1"/>
  <c r="T13" i="6" s="1"/>
  <c r="N5" i="6"/>
  <c r="O5" i="6" s="1"/>
  <c r="P5" i="6" s="1"/>
  <c r="Q5" i="6" s="1"/>
  <c r="T5" i="6" s="1"/>
  <c r="N2" i="6"/>
  <c r="O2" i="6" s="1"/>
  <c r="P2" i="6" s="1"/>
  <c r="Q2" i="6" s="1"/>
  <c r="N44" i="6"/>
  <c r="O44" i="6" s="1"/>
  <c r="P44" i="6" s="1"/>
  <c r="Q44" i="6" s="1"/>
  <c r="T44" i="6" s="1"/>
  <c r="N36" i="6"/>
  <c r="O36" i="6" s="1"/>
  <c r="P36" i="6" s="1"/>
  <c r="Q36" i="6" s="1"/>
  <c r="T36" i="6" s="1"/>
  <c r="N28" i="6"/>
  <c r="O28" i="6" s="1"/>
  <c r="P28" i="6" s="1"/>
  <c r="Q28" i="6" s="1"/>
  <c r="T28" i="6" s="1"/>
  <c r="N20" i="6"/>
  <c r="O20" i="6" s="1"/>
  <c r="P20" i="6" s="1"/>
  <c r="Q20" i="6" s="1"/>
  <c r="T20" i="6" s="1"/>
  <c r="N4" i="6"/>
  <c r="O4" i="6" s="1"/>
  <c r="P4" i="6" s="1"/>
  <c r="Q4" i="6" s="1"/>
  <c r="T4" i="6" s="1"/>
  <c r="N51" i="6"/>
  <c r="O51" i="6" s="1"/>
  <c r="P51" i="6" s="1"/>
  <c r="Q51" i="6" s="1"/>
  <c r="T51" i="6" s="1"/>
  <c r="N43" i="6"/>
  <c r="O43" i="6" s="1"/>
  <c r="P43" i="6" s="1"/>
  <c r="Q43" i="6" s="1"/>
  <c r="T43" i="6" s="1"/>
  <c r="N27" i="6"/>
  <c r="O27" i="6" s="1"/>
  <c r="P27" i="6" s="1"/>
  <c r="Q27" i="6" s="1"/>
  <c r="T27" i="6" s="1"/>
  <c r="N11" i="6"/>
  <c r="O11" i="6" s="1"/>
  <c r="P11" i="6" s="1"/>
  <c r="Q11" i="6" s="1"/>
  <c r="T11" i="6" s="1"/>
  <c r="N3" i="6"/>
  <c r="O3" i="6" s="1"/>
  <c r="P3" i="6" s="1"/>
  <c r="Q3" i="6" s="1"/>
  <c r="T3" i="6" s="1"/>
  <c r="Q52" i="6" l="1"/>
  <c r="T2" i="6"/>
  <c r="T52" i="6" s="1"/>
  <c r="U53" i="6" s="1"/>
</calcChain>
</file>

<file path=xl/sharedStrings.xml><?xml version="1.0" encoding="utf-8"?>
<sst xmlns="http://schemas.openxmlformats.org/spreadsheetml/2006/main" count="4181" uniqueCount="304">
  <si>
    <t>Name</t>
  </si>
  <si>
    <t>Gender</t>
  </si>
  <si>
    <t>Organization Name</t>
  </si>
  <si>
    <t>Current Role</t>
  </si>
  <si>
    <t>Years of experience</t>
  </si>
  <si>
    <t>Industry or Domain</t>
  </si>
  <si>
    <t>Do you use Generative AI for your office work?</t>
  </si>
  <si>
    <t>Which AI tools do you use?</t>
  </si>
  <si>
    <t>How long have you been using Generative AI at work?</t>
  </si>
  <si>
    <t>Frequency of AI usage at work?</t>
  </si>
  <si>
    <t>What are the Primary tasks for which you use Generative AI?</t>
  </si>
  <si>
    <t>Approximately what percentage of your tasks involve AI assistance?</t>
  </si>
  <si>
    <t>Average time to complete a standard task BEFORE AI.</t>
  </si>
  <si>
    <t>Average time to complete the same task AFTER AI.</t>
  </si>
  <si>
    <t>Estimated % time saved due to AI.</t>
  </si>
  <si>
    <t>AI enablement helps to complete a higher volume of tasks within the same time frame</t>
  </si>
  <si>
    <t>AI reduces your manual effort and repetitive work in my daily tasks.</t>
  </si>
  <si>
    <t>AI helps you to identify errors and resolve faster to reduces rework.</t>
  </si>
  <si>
    <t>AI improves the quality and accuracy of my deliverables.</t>
  </si>
  <si>
    <t>What is the primary reason for not using Generative AI tools ?</t>
  </si>
  <si>
    <t xml:space="preserve">Do you believe Generative AI could improve your productivity? </t>
  </si>
  <si>
    <t>Faster_Project_Delivery</t>
  </si>
  <si>
    <t>reduce_project_duration_cost</t>
  </si>
  <si>
    <t xml:space="preserve">Improve_efficiency_and_resource_utilisation </t>
  </si>
  <si>
    <t>strengthens_organization’s_competitive_advantage</t>
  </si>
  <si>
    <t>supportive_tool_rather_risk_for_work</t>
  </si>
  <si>
    <t>Navedita</t>
  </si>
  <si>
    <t>Female</t>
  </si>
  <si>
    <t>Ey</t>
  </si>
  <si>
    <t>Consultant</t>
  </si>
  <si>
    <t>0-2</t>
  </si>
  <si>
    <t>Consulting</t>
  </si>
  <si>
    <t>Yes</t>
  </si>
  <si>
    <t>ChatGPT, Microsoft Copilot, Gemini</t>
  </si>
  <si>
    <t>4-6 months</t>
  </si>
  <si>
    <t>Daily</t>
  </si>
  <si>
    <t>Data analysis/Reporting, Research/Knowledge Search</t>
  </si>
  <si>
    <t>25-50%</t>
  </si>
  <si>
    <t>4-6 hours</t>
  </si>
  <si>
    <t>2-4 hours</t>
  </si>
  <si>
    <t>Agree</t>
  </si>
  <si>
    <t>Neutral</t>
  </si>
  <si>
    <t>Strongly agree</t>
  </si>
  <si>
    <t>Akshit</t>
  </si>
  <si>
    <t>Male</t>
  </si>
  <si>
    <t>TCS</t>
  </si>
  <si>
    <t>Business Analyst</t>
  </si>
  <si>
    <t>3-5</t>
  </si>
  <si>
    <t>IT Services</t>
  </si>
  <si>
    <t>ChatGPT, Microsoft Copilot</t>
  </si>
  <si>
    <t>7-12 months</t>
  </si>
  <si>
    <t>Documentation/Requirement Writing, Research/Knowledge Search</t>
  </si>
  <si>
    <t>Less than 2 hours</t>
  </si>
  <si>
    <t>10-25%</t>
  </si>
  <si>
    <t>Strongly Agree</t>
  </si>
  <si>
    <t>Krithi</t>
  </si>
  <si>
    <t>Worldpanel by Numerator</t>
  </si>
  <si>
    <t>Data Engineer or Data Analyst</t>
  </si>
  <si>
    <t>ChatGPT, GitHub Copilot, Microsoft Copilot</t>
  </si>
  <si>
    <t>Coding/Development, Documentation/Requirement Writing, Data analysis/Reporting, Research/Knowledge Search</t>
  </si>
  <si>
    <t>Gunjesh</t>
  </si>
  <si>
    <t>JSL</t>
  </si>
  <si>
    <t>Project Manager or Product Owner</t>
  </si>
  <si>
    <t>10 and more</t>
  </si>
  <si>
    <t>Manufacturing</t>
  </si>
  <si>
    <t>0-10 %</t>
  </si>
  <si>
    <t>Chanchal</t>
  </si>
  <si>
    <t>6-10</t>
  </si>
  <si>
    <t>Microsoft Copilot</t>
  </si>
  <si>
    <t>1-3 months</t>
  </si>
  <si>
    <t>3-4 times/week</t>
  </si>
  <si>
    <t>Documentation/Requirement Writing, Data analysis/Reporting, Research/Knowledge Search</t>
  </si>
  <si>
    <t>Mayank Jain</t>
  </si>
  <si>
    <t>Software Engineer</t>
  </si>
  <si>
    <t>ChatGPT, GitHub Copilot, Microsoft Copilot, Gemini</t>
  </si>
  <si>
    <t>Coding/Development, Documentation/Requirement Writing, Testing/Debugging, Data analysis/Reporting</t>
  </si>
  <si>
    <t>Disagree</t>
  </si>
  <si>
    <t>Netural</t>
  </si>
  <si>
    <t>Ravi Chandra</t>
  </si>
  <si>
    <t>Cognizant</t>
  </si>
  <si>
    <t>Weekly</t>
  </si>
  <si>
    <t>Documentation/Requirement Writing</t>
  </si>
  <si>
    <t>Avneesh Singh</t>
  </si>
  <si>
    <t>GitHub Copilot</t>
  </si>
  <si>
    <t>More than 50%</t>
  </si>
  <si>
    <t>More than 50 %</t>
  </si>
  <si>
    <t>Mohammed Muzammil</t>
  </si>
  <si>
    <t>Sapital Recruitments</t>
  </si>
  <si>
    <t>Business Development Manager</t>
  </si>
  <si>
    <t>ChatGPT, Gemini, Clay</t>
  </si>
  <si>
    <t>More than a year</t>
  </si>
  <si>
    <t>Documentation/Requirement Writing, Research/Knowledge Search, Prospecting and Data Enrichment</t>
  </si>
  <si>
    <t>Zahid</t>
  </si>
  <si>
    <t>Wipro</t>
  </si>
  <si>
    <t>Coding/Development, Documentation/Requirement Writing, Testing/Debugging, Research/Knowledge Search</t>
  </si>
  <si>
    <t>Rupali</t>
  </si>
  <si>
    <t>Core integra</t>
  </si>
  <si>
    <t>Data management executive</t>
  </si>
  <si>
    <t>No</t>
  </si>
  <si>
    <t>Company policy restrictions</t>
  </si>
  <si>
    <t>Vikrant Singh</t>
  </si>
  <si>
    <t>Mediatek</t>
  </si>
  <si>
    <t>Claude</t>
  </si>
  <si>
    <t>Coding/Development, Documentation/Requirement Writing, Testing/Debugging</t>
  </si>
  <si>
    <t>Umesh Chandra</t>
  </si>
  <si>
    <t>Kpmg</t>
  </si>
  <si>
    <t>Rupali Shinde</t>
  </si>
  <si>
    <t>FIS</t>
  </si>
  <si>
    <t>QA / Test Engineer</t>
  </si>
  <si>
    <t>BFSI</t>
  </si>
  <si>
    <t>GitHub Copilot, Microsoft Copilot</t>
  </si>
  <si>
    <t>Documentation/Requirement Writing, Research/Knowledge Search, Email writing , chats</t>
  </si>
  <si>
    <t>0-10%</t>
  </si>
  <si>
    <t>Sunny Khurana</t>
  </si>
  <si>
    <t>EY</t>
  </si>
  <si>
    <t>Abirami</t>
  </si>
  <si>
    <t>JPMORGAN</t>
  </si>
  <si>
    <t>GitHub Copilot,</t>
  </si>
  <si>
    <t>Coding/Development, Data analysis/Reporting, Research/Knowledge Search, Email composing</t>
  </si>
  <si>
    <t>Devjeet Singh Sondhi</t>
  </si>
  <si>
    <t>Shell India Market Pvt. Ltd.</t>
  </si>
  <si>
    <t>Petroleum Engineer</t>
  </si>
  <si>
    <t>Oil and Gas</t>
  </si>
  <si>
    <t>Coding/Development, Documentation/Requirement Writing, Research/Knowledge Search</t>
  </si>
  <si>
    <t>More than 8 hours</t>
  </si>
  <si>
    <t>Strongly disagree</t>
  </si>
  <si>
    <t>Ashish</t>
  </si>
  <si>
    <t>Adani Digital Labs</t>
  </si>
  <si>
    <t>Fintech</t>
  </si>
  <si>
    <t>We are in adopting phase</t>
  </si>
  <si>
    <t>Sagar</t>
  </si>
  <si>
    <t>Documentation/Requirement Writing, Testing/Debugging, Data analysis/Reporting, Research/Knowledge Search</t>
  </si>
  <si>
    <t>Vaishali Azad</t>
  </si>
  <si>
    <t>Coforge</t>
  </si>
  <si>
    <t>Data security or confidentiality concerns, Not required for my role</t>
  </si>
  <si>
    <t>Khushboo Dashore</t>
  </si>
  <si>
    <t>Advaiya Solution Pvt Ltd</t>
  </si>
  <si>
    <t>Coding/Development, Documentation/Requirement Writing, Testing/Debugging, Data analysis/Reporting, Research/Knowledge Search</t>
  </si>
  <si>
    <t>Rupali Pandey</t>
  </si>
  <si>
    <t>SetMyCart</t>
  </si>
  <si>
    <t>Growth and Partnership</t>
  </si>
  <si>
    <t>Marketing</t>
  </si>
  <si>
    <t>Kopal kamboj</t>
  </si>
  <si>
    <t>Telecom</t>
  </si>
  <si>
    <t>Microsoft Copilot, Gemini</t>
  </si>
  <si>
    <t>Occasionally</t>
  </si>
  <si>
    <t>Ayushi Mishra</t>
  </si>
  <si>
    <t>PayPal</t>
  </si>
  <si>
    <t>Senior fraud analyst</t>
  </si>
  <si>
    <t>Operations</t>
  </si>
  <si>
    <t>Not required for my role</t>
  </si>
  <si>
    <t>Divisha</t>
  </si>
  <si>
    <t>Rajat Joshi</t>
  </si>
  <si>
    <t>Tcs</t>
  </si>
  <si>
    <t>Coding/Development, Testing/Debugging, Research/Knowledge Search</t>
  </si>
  <si>
    <t>Mahesvaran R</t>
  </si>
  <si>
    <t>Sheenlac paints</t>
  </si>
  <si>
    <t>Chemist</t>
  </si>
  <si>
    <t>Chemical</t>
  </si>
  <si>
    <t>ChatGPT, Gemini</t>
  </si>
  <si>
    <t>Research/Knowledge Search</t>
  </si>
  <si>
    <t>Piyush Srivastava</t>
  </si>
  <si>
    <t>Xxx</t>
  </si>
  <si>
    <t>AI Engineer</t>
  </si>
  <si>
    <t>ChatGPT, GitHub Copilot, Microsoft Copilot, Gemini, Lot many</t>
  </si>
  <si>
    <t>Coding/Development, Documentation/Requirement Writing, Data analysis/Reporting</t>
  </si>
  <si>
    <t>Sajan Daniel</t>
  </si>
  <si>
    <t>YES Bank</t>
  </si>
  <si>
    <t>Sanidhya Gupta</t>
  </si>
  <si>
    <t>OneClick IT consultancy</t>
  </si>
  <si>
    <t>ChatGPT, GitHub Copilot, Gemini</t>
  </si>
  <si>
    <t>Documentation/Requirement Writing, Testing/Debugging, Research/Knowledge Search</t>
  </si>
  <si>
    <t>Surbhi Wadhwa</t>
  </si>
  <si>
    <t>ChatGPT, GitHub Copilot, AI Cursor</t>
  </si>
  <si>
    <t>Hariom</t>
  </si>
  <si>
    <t>ChatGPT, GitHub Copilot, Microsoft Copilot, Gemini, Curaor</t>
  </si>
  <si>
    <t>Tushar Singhal</t>
  </si>
  <si>
    <t>Saju</t>
  </si>
  <si>
    <t>Tata Consultancy Services</t>
  </si>
  <si>
    <t>Not required for my role, Concerns about accuracy/reliability</t>
  </si>
  <si>
    <t>Sunil Gupta</t>
  </si>
  <si>
    <t>Citi private LTD</t>
  </si>
  <si>
    <t>ChatGPT, GitHub Copilot, Gemini, Devin</t>
  </si>
  <si>
    <t>Shivani Waghade</t>
  </si>
  <si>
    <t>Capgemini</t>
  </si>
  <si>
    <t>Vaibhav Gupta</t>
  </si>
  <si>
    <t>Nikita Girase</t>
  </si>
  <si>
    <t>Insieme infocom pvt ltd</t>
  </si>
  <si>
    <t>Shubham</t>
  </si>
  <si>
    <t>ChatGPT</t>
  </si>
  <si>
    <t>Coding/Development</t>
  </si>
  <si>
    <t>Tanishq Yadav</t>
  </si>
  <si>
    <t>UX designer</t>
  </si>
  <si>
    <t>Microsoft Copilot, Gemini, Figma make</t>
  </si>
  <si>
    <t>Research/Knowledge Search, Design wireframe</t>
  </si>
  <si>
    <t>Anand Raj</t>
  </si>
  <si>
    <t>Drishti Bawa</t>
  </si>
  <si>
    <t>Praveen Sharma</t>
  </si>
  <si>
    <t>TCD</t>
  </si>
  <si>
    <t>Documentation/Requirement Writing, Testing/Debugging</t>
  </si>
  <si>
    <t>Yashi Sharma</t>
  </si>
  <si>
    <t>Lack of training or awareness, Not required for my role</t>
  </si>
  <si>
    <t>Naman Bhardwaj</t>
  </si>
  <si>
    <t>Shubham Yadav</t>
  </si>
  <si>
    <t>Exly</t>
  </si>
  <si>
    <t>Creator economy</t>
  </si>
  <si>
    <t>ChatGPT, Claude</t>
  </si>
  <si>
    <t>Ananya</t>
  </si>
  <si>
    <t>ChatGPT, GitHub Copilot</t>
  </si>
  <si>
    <t>Coding/Development, Testing/Debugging</t>
  </si>
  <si>
    <t>Ayush Vaish</t>
  </si>
  <si>
    <t>Lack of availability</t>
  </si>
  <si>
    <t>Namrata Maurya</t>
  </si>
  <si>
    <t>ChatGPT, GitHub Copilot,</t>
  </si>
  <si>
    <t>Coding/Development, Research/Knowledge Search</t>
  </si>
  <si>
    <t>Himani Srivastava</t>
  </si>
  <si>
    <t xml:space="preserve"> Monthly ₹</t>
  </si>
  <si>
    <t>Hourly Cost ₹</t>
  </si>
  <si>
    <t>Salary</t>
  </si>
  <si>
    <t>Hour Saved</t>
  </si>
  <si>
    <t>% Time Saved</t>
  </si>
  <si>
    <t>Daily Saving</t>
  </si>
  <si>
    <t>Montly Saving</t>
  </si>
  <si>
    <t>Weekly Saving</t>
  </si>
  <si>
    <t>Annual Saving</t>
  </si>
  <si>
    <t>AI Monthly Cost (₹)</t>
  </si>
  <si>
    <t>AI Annual Cost (₹)</t>
  </si>
  <si>
    <t>Others</t>
  </si>
  <si>
    <t xml:space="preserve"> Gemini</t>
  </si>
  <si>
    <t xml:space="preserve"> GitHub Copilot</t>
  </si>
  <si>
    <t xml:space="preserve"> Clay</t>
  </si>
  <si>
    <t xml:space="preserve"> Claude</t>
  </si>
  <si>
    <t>Copilot</t>
  </si>
  <si>
    <t xml:space="preserve"> Cursor</t>
  </si>
  <si>
    <t xml:space="preserve"> Other</t>
  </si>
  <si>
    <t xml:space="preserve"> Copilot</t>
  </si>
  <si>
    <t>Which AI tools do you use1</t>
  </si>
  <si>
    <t>Which AI tools do you use2</t>
  </si>
  <si>
    <t>Which AI tools do you use3</t>
  </si>
  <si>
    <t>Which AI tools do you use4</t>
  </si>
  <si>
    <t>Data analysis/Reporting</t>
  </si>
  <si>
    <t xml:space="preserve"> Research/Knowledge Search</t>
  </si>
  <si>
    <t xml:space="preserve"> Documentation/Requirement Writing</t>
  </si>
  <si>
    <t xml:space="preserve"> Data analysis/Reporting</t>
  </si>
  <si>
    <t xml:space="preserve"> Testing/Debugging</t>
  </si>
  <si>
    <t xml:space="preserve"> Email writing </t>
  </si>
  <si>
    <t>What are the Primary tasks by AI? 1</t>
  </si>
  <si>
    <t>What are the Primary tasks by AI? 2</t>
  </si>
  <si>
    <t>What are the Primary tasks by AI? 3</t>
  </si>
  <si>
    <t xml:space="preserve"> Email writing</t>
  </si>
  <si>
    <t>What are the Primary tasks by AI? 4</t>
  </si>
  <si>
    <t>What are the Primary tasks by AI? 5</t>
  </si>
  <si>
    <t>NA</t>
  </si>
  <si>
    <t>Total Annual Saving</t>
  </si>
  <si>
    <t>prod_volume_num</t>
  </si>
  <si>
    <t>prod_effort_num</t>
  </si>
  <si>
    <t>reduce_rework_num</t>
  </si>
  <si>
    <t>quality_accuracy_num</t>
  </si>
  <si>
    <t>Faster_delivery_num</t>
  </si>
  <si>
    <t>cost_reduction_num</t>
  </si>
  <si>
    <t>team_efficiency_num</t>
  </si>
  <si>
    <t>competitive_advantage_num</t>
  </si>
  <si>
    <t>ai_task_percent_num</t>
  </si>
  <si>
    <t>faster_delivery_cat</t>
  </si>
  <si>
    <t>reduced_cost_cat</t>
  </si>
  <si>
    <t>efficiency_cat</t>
  </si>
  <si>
    <t>competitive_advantage_cat</t>
  </si>
  <si>
    <t>perception_binary</t>
  </si>
  <si>
    <t>time_saved_per_task</t>
  </si>
  <si>
    <t>productivity_gain_pct</t>
  </si>
  <si>
    <t>ai_productivity_index</t>
  </si>
  <si>
    <t>time_before_num</t>
  </si>
  <si>
    <t>time_after_num</t>
  </si>
  <si>
    <t>time_saved_num</t>
  </si>
  <si>
    <t>High</t>
  </si>
  <si>
    <t>Medium</t>
  </si>
  <si>
    <t>Low</t>
  </si>
  <si>
    <t>gender</t>
  </si>
  <si>
    <t>experience</t>
  </si>
  <si>
    <t>industry</t>
  </si>
  <si>
    <t>ai_usage</t>
  </si>
  <si>
    <t>ai_tools</t>
  </si>
  <si>
    <t>ai_duration</t>
  </si>
  <si>
    <t>ai_frequency</t>
  </si>
  <si>
    <t>ai_tasks</t>
  </si>
  <si>
    <t>ai_task_percent</t>
  </si>
  <si>
    <t>time_before</t>
  </si>
  <si>
    <t>time_after</t>
  </si>
  <si>
    <t>time_saved</t>
  </si>
  <si>
    <t>prod_volume</t>
  </si>
  <si>
    <t>prod_effort</t>
  </si>
  <si>
    <t>reduce_rework</t>
  </si>
  <si>
    <t>quality_accuracy</t>
  </si>
  <si>
    <t>no_ai_reason</t>
  </si>
  <si>
    <t>ai_belief</t>
  </si>
  <si>
    <t>Faster_delivery</t>
  </si>
  <si>
    <t>cost_reduction</t>
  </si>
  <si>
    <t>team_efficiency</t>
  </si>
  <si>
    <t>competitive_advantage</t>
  </si>
  <si>
    <t>ai_support</t>
  </si>
  <si>
    <t>experience_num</t>
  </si>
  <si>
    <t>ai_duration_num</t>
  </si>
  <si>
    <t>ai_frequency_num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</si>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</sst>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0"/>
      <color rgb="FF000000"/>
      <name val="Calibri"/>
      <family val="2"/>
    </font>
    <font>
      <sz val="10"/>
      <color rgb="FF434343"/>
      <name val="Calibri"/>
      <family val="2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49" fontId="4" fillId="3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/>
    </xf>
    <xf numFmtId="0" fontId="0" fillId="0" borderId="1" xfId="0" applyBorder="1"/>
    <xf numFmtId="164" fontId="2" fillId="2" borderId="1" xfId="0" applyNumberFormat="1" applyFont="1" applyFill="1" applyBorder="1"/>
    <xf numFmtId="164" fontId="0" fillId="0" borderId="1" xfId="0" applyNumberFormat="1" applyBorder="1" applyAlignment="1">
      <alignment horizontal="left" vertical="center"/>
    </xf>
    <xf numFmtId="164" fontId="0" fillId="0" borderId="1" xfId="0" applyNumberFormat="1" applyBorder="1"/>
    <xf numFmtId="9" fontId="0" fillId="0" borderId="1" xfId="1" applyFont="1" applyBorder="1"/>
    <xf numFmtId="164" fontId="0" fillId="0" borderId="1" xfId="0" applyNumberFormat="1" applyBorder="1" applyAlignment="1">
      <alignment vertical="center"/>
    </xf>
    <xf numFmtId="164" fontId="0" fillId="0" borderId="0" xfId="0" applyNumberFormat="1"/>
    <xf numFmtId="164" fontId="2" fillId="2" borderId="2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64" fontId="2" fillId="5" borderId="2" xfId="0" applyNumberFormat="1" applyFont="1" applyFill="1" applyBorder="1"/>
    <xf numFmtId="0" fontId="5" fillId="5" borderId="0" xfId="0" applyFon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953C-A4B2-4A0D-BA5A-048A61FAB0D4}">
  <dimension ref="A1:Z51"/>
  <sheetViews>
    <sheetView workbookViewId="0">
      <selection activeCell="E4" sqref="E4"/>
    </sheetView>
  </sheetViews>
  <sheetFormatPr defaultColWidth="14.33203125" defaultRowHeight="14.4" x14ac:dyDescent="0.3"/>
  <cols>
    <col min="1" max="7" width="14.33203125" style="5"/>
    <col min="8" max="8" width="27.5546875" style="5" customWidth="1"/>
    <col min="9" max="25" width="14.33203125" style="5"/>
    <col min="26" max="26" width="39.77734375" style="5" bestFit="1" customWidth="1"/>
    <col min="27" max="16384" width="14.33203125" style="5"/>
  </cols>
  <sheetData>
    <row r="1" spans="1:26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2" customFormat="1" ht="13.8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37</v>
      </c>
      <c r="P2" s="2" t="s">
        <v>40</v>
      </c>
      <c r="Q2" s="2" t="s">
        <v>40</v>
      </c>
      <c r="R2" s="2" t="s">
        <v>40</v>
      </c>
      <c r="S2" s="2" t="s">
        <v>40</v>
      </c>
      <c r="V2" s="2" t="s">
        <v>40</v>
      </c>
      <c r="W2" s="2" t="s">
        <v>41</v>
      </c>
      <c r="X2" s="2" t="s">
        <v>42</v>
      </c>
      <c r="Y2" s="2" t="s">
        <v>40</v>
      </c>
      <c r="Z2" s="2" t="s">
        <v>40</v>
      </c>
    </row>
    <row r="3" spans="1:26" s="2" customFormat="1" ht="13.8" x14ac:dyDescent="0.3">
      <c r="A3" s="2" t="s">
        <v>43</v>
      </c>
      <c r="B3" s="2" t="s">
        <v>44</v>
      </c>
      <c r="C3" s="2" t="s">
        <v>45</v>
      </c>
      <c r="D3" s="2" t="s">
        <v>46</v>
      </c>
      <c r="E3" s="3" t="s">
        <v>47</v>
      </c>
      <c r="F3" s="2" t="s">
        <v>48</v>
      </c>
      <c r="G3" s="2" t="s">
        <v>32</v>
      </c>
      <c r="H3" s="2" t="s">
        <v>49</v>
      </c>
      <c r="I3" s="2" t="s">
        <v>50</v>
      </c>
      <c r="J3" s="2" t="s">
        <v>35</v>
      </c>
      <c r="K3" s="2" t="s">
        <v>51</v>
      </c>
      <c r="L3" s="2" t="s">
        <v>37</v>
      </c>
      <c r="M3" s="2" t="s">
        <v>39</v>
      </c>
      <c r="N3" s="2" t="s">
        <v>52</v>
      </c>
      <c r="O3" s="2" t="s">
        <v>53</v>
      </c>
      <c r="P3" s="2" t="s">
        <v>54</v>
      </c>
      <c r="Q3" s="2" t="s">
        <v>40</v>
      </c>
      <c r="R3" s="2" t="s">
        <v>40</v>
      </c>
      <c r="S3" s="2" t="s">
        <v>40</v>
      </c>
      <c r="V3" s="2" t="s">
        <v>40</v>
      </c>
      <c r="W3" s="2" t="s">
        <v>40</v>
      </c>
      <c r="X3" s="2" t="s">
        <v>40</v>
      </c>
      <c r="Y3" s="2" t="s">
        <v>40</v>
      </c>
      <c r="Z3" s="2" t="s">
        <v>40</v>
      </c>
    </row>
    <row r="4" spans="1:26" s="2" customFormat="1" ht="13.8" x14ac:dyDescent="0.3">
      <c r="A4" s="2" t="s">
        <v>55</v>
      </c>
      <c r="B4" s="2" t="s">
        <v>27</v>
      </c>
      <c r="C4" s="2" t="s">
        <v>56</v>
      </c>
      <c r="D4" s="2" t="s">
        <v>57</v>
      </c>
      <c r="E4" s="3" t="s">
        <v>47</v>
      </c>
      <c r="F4" s="2" t="s">
        <v>48</v>
      </c>
      <c r="G4" s="2" t="s">
        <v>32</v>
      </c>
      <c r="H4" s="2" t="s">
        <v>58</v>
      </c>
      <c r="I4" s="2" t="s">
        <v>50</v>
      </c>
      <c r="J4" s="2" t="s">
        <v>35</v>
      </c>
      <c r="K4" s="2" t="s">
        <v>59</v>
      </c>
      <c r="L4" s="2" t="s">
        <v>37</v>
      </c>
      <c r="M4" s="2" t="s">
        <v>38</v>
      </c>
      <c r="N4" s="2" t="s">
        <v>52</v>
      </c>
      <c r="O4" s="2" t="s">
        <v>37</v>
      </c>
      <c r="P4" s="2" t="s">
        <v>40</v>
      </c>
      <c r="Q4" s="2" t="s">
        <v>42</v>
      </c>
      <c r="R4" s="2" t="s">
        <v>54</v>
      </c>
      <c r="S4" s="2" t="s">
        <v>54</v>
      </c>
      <c r="V4" s="2" t="s">
        <v>40</v>
      </c>
      <c r="W4" s="2" t="s">
        <v>40</v>
      </c>
      <c r="X4" s="2" t="s">
        <v>41</v>
      </c>
      <c r="Y4" s="2" t="s">
        <v>41</v>
      </c>
      <c r="Z4" s="2" t="s">
        <v>40</v>
      </c>
    </row>
    <row r="5" spans="1:26" s="2" customFormat="1" ht="13.8" x14ac:dyDescent="0.3">
      <c r="A5" s="2" t="s">
        <v>60</v>
      </c>
      <c r="B5" s="2" t="s">
        <v>44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32</v>
      </c>
      <c r="H5" s="2" t="s">
        <v>49</v>
      </c>
      <c r="I5" s="2" t="s">
        <v>34</v>
      </c>
      <c r="J5" s="2" t="s">
        <v>35</v>
      </c>
      <c r="K5" s="2" t="s">
        <v>51</v>
      </c>
      <c r="L5" s="2" t="s">
        <v>65</v>
      </c>
      <c r="M5" s="2" t="s">
        <v>39</v>
      </c>
      <c r="N5" s="2" t="s">
        <v>52</v>
      </c>
      <c r="O5" s="2" t="s">
        <v>53</v>
      </c>
      <c r="P5" s="2" t="s">
        <v>54</v>
      </c>
      <c r="Q5" s="2" t="s">
        <v>42</v>
      </c>
      <c r="R5" s="2" t="s">
        <v>40</v>
      </c>
      <c r="S5" s="2" t="s">
        <v>40</v>
      </c>
      <c r="V5" s="2" t="s">
        <v>40</v>
      </c>
      <c r="W5" s="2" t="s">
        <v>40</v>
      </c>
      <c r="X5" s="2" t="s">
        <v>40</v>
      </c>
      <c r="Y5" s="2" t="s">
        <v>40</v>
      </c>
      <c r="Z5" s="2" t="s">
        <v>54</v>
      </c>
    </row>
    <row r="6" spans="1:26" s="2" customFormat="1" ht="13.8" x14ac:dyDescent="0.3">
      <c r="A6" s="2" t="s">
        <v>66</v>
      </c>
      <c r="B6" s="2" t="s">
        <v>27</v>
      </c>
      <c r="C6" s="2" t="s">
        <v>45</v>
      </c>
      <c r="D6" s="2" t="s">
        <v>46</v>
      </c>
      <c r="E6" s="4" t="s">
        <v>67</v>
      </c>
      <c r="F6" s="2" t="s">
        <v>48</v>
      </c>
      <c r="G6" s="2" t="s">
        <v>32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53</v>
      </c>
      <c r="M6" s="2" t="s">
        <v>38</v>
      </c>
      <c r="N6" s="2" t="s">
        <v>39</v>
      </c>
      <c r="O6" s="2" t="s">
        <v>53</v>
      </c>
      <c r="P6" s="2" t="s">
        <v>41</v>
      </c>
      <c r="Q6" s="2" t="s">
        <v>40</v>
      </c>
      <c r="R6" s="2" t="s">
        <v>40</v>
      </c>
      <c r="S6" s="2" t="s">
        <v>41</v>
      </c>
      <c r="V6" s="2" t="s">
        <v>40</v>
      </c>
      <c r="W6" s="2" t="s">
        <v>40</v>
      </c>
      <c r="X6" s="2" t="s">
        <v>40</v>
      </c>
      <c r="Y6" s="2" t="s">
        <v>40</v>
      </c>
      <c r="Z6" s="2" t="s">
        <v>40</v>
      </c>
    </row>
    <row r="7" spans="1:26" s="2" customFormat="1" ht="13.8" x14ac:dyDescent="0.3">
      <c r="A7" s="2" t="s">
        <v>72</v>
      </c>
      <c r="B7" s="2" t="s">
        <v>44</v>
      </c>
      <c r="C7" s="2" t="s">
        <v>45</v>
      </c>
      <c r="D7" s="2" t="s">
        <v>73</v>
      </c>
      <c r="E7" s="2" t="s">
        <v>30</v>
      </c>
      <c r="F7" s="2" t="s">
        <v>48</v>
      </c>
      <c r="G7" s="2" t="s">
        <v>32</v>
      </c>
      <c r="H7" s="2" t="s">
        <v>74</v>
      </c>
      <c r="I7" s="2" t="s">
        <v>50</v>
      </c>
      <c r="J7" s="2" t="s">
        <v>35</v>
      </c>
      <c r="K7" s="2" t="s">
        <v>75</v>
      </c>
      <c r="L7" s="2" t="s">
        <v>53</v>
      </c>
      <c r="M7" s="2" t="s">
        <v>39</v>
      </c>
      <c r="N7" s="2" t="s">
        <v>52</v>
      </c>
      <c r="O7" s="2" t="s">
        <v>53</v>
      </c>
      <c r="P7" s="2" t="s">
        <v>41</v>
      </c>
      <c r="Q7" s="2" t="s">
        <v>40</v>
      </c>
      <c r="R7" s="2" t="s">
        <v>40</v>
      </c>
      <c r="S7" s="2" t="s">
        <v>76</v>
      </c>
      <c r="V7" s="2" t="s">
        <v>41</v>
      </c>
      <c r="W7" s="2" t="s">
        <v>40</v>
      </c>
      <c r="X7" s="2" t="s">
        <v>40</v>
      </c>
      <c r="Y7" s="2" t="s">
        <v>40</v>
      </c>
      <c r="Z7" s="2" t="s">
        <v>77</v>
      </c>
    </row>
    <row r="8" spans="1:26" s="2" customFormat="1" ht="13.8" x14ac:dyDescent="0.3">
      <c r="A8" s="2" t="s">
        <v>78</v>
      </c>
      <c r="B8" s="2" t="s">
        <v>44</v>
      </c>
      <c r="C8" s="2" t="s">
        <v>79</v>
      </c>
      <c r="D8" s="2" t="s">
        <v>57</v>
      </c>
      <c r="E8" s="4" t="s">
        <v>67</v>
      </c>
      <c r="F8" s="2" t="s">
        <v>48</v>
      </c>
      <c r="G8" s="2" t="s">
        <v>32</v>
      </c>
      <c r="H8" s="2" t="s">
        <v>68</v>
      </c>
      <c r="I8" s="2" t="s">
        <v>34</v>
      </c>
      <c r="J8" s="2" t="s">
        <v>80</v>
      </c>
      <c r="K8" s="2" t="s">
        <v>81</v>
      </c>
      <c r="L8" s="2" t="s">
        <v>53</v>
      </c>
      <c r="M8" s="2" t="s">
        <v>52</v>
      </c>
      <c r="N8" s="2" t="s">
        <v>52</v>
      </c>
      <c r="O8" s="2" t="s">
        <v>53</v>
      </c>
      <c r="P8" s="2" t="s">
        <v>54</v>
      </c>
      <c r="Q8" s="2" t="s">
        <v>42</v>
      </c>
      <c r="R8" s="2" t="s">
        <v>40</v>
      </c>
      <c r="S8" s="2" t="s">
        <v>40</v>
      </c>
      <c r="V8" s="2" t="s">
        <v>40</v>
      </c>
      <c r="W8" s="2" t="s">
        <v>42</v>
      </c>
      <c r="X8" s="2" t="s">
        <v>40</v>
      </c>
      <c r="Y8" s="2" t="s">
        <v>40</v>
      </c>
      <c r="Z8" s="2" t="s">
        <v>40</v>
      </c>
    </row>
    <row r="9" spans="1:26" s="2" customFormat="1" ht="13.8" x14ac:dyDescent="0.3">
      <c r="A9" s="2" t="s">
        <v>82</v>
      </c>
      <c r="B9" s="2" t="s">
        <v>44</v>
      </c>
      <c r="C9" s="2" t="s">
        <v>45</v>
      </c>
      <c r="D9" s="2" t="s">
        <v>73</v>
      </c>
      <c r="E9" s="3" t="s">
        <v>47</v>
      </c>
      <c r="F9" s="2" t="s">
        <v>48</v>
      </c>
      <c r="G9" s="2" t="s">
        <v>32</v>
      </c>
      <c r="H9" s="2" t="s">
        <v>83</v>
      </c>
      <c r="I9" s="2" t="s">
        <v>34</v>
      </c>
      <c r="J9" s="2" t="s">
        <v>35</v>
      </c>
      <c r="K9" s="2" t="s">
        <v>59</v>
      </c>
      <c r="L9" s="2" t="s">
        <v>84</v>
      </c>
      <c r="M9" s="2" t="s">
        <v>38</v>
      </c>
      <c r="N9" s="2" t="s">
        <v>52</v>
      </c>
      <c r="O9" s="2" t="s">
        <v>85</v>
      </c>
      <c r="P9" s="2" t="s">
        <v>40</v>
      </c>
      <c r="Q9" s="2" t="s">
        <v>40</v>
      </c>
      <c r="R9" s="2" t="s">
        <v>40</v>
      </c>
      <c r="S9" s="2" t="s">
        <v>40</v>
      </c>
      <c r="V9" s="2" t="s">
        <v>40</v>
      </c>
      <c r="W9" s="2" t="s">
        <v>41</v>
      </c>
      <c r="X9" s="2" t="s">
        <v>41</v>
      </c>
      <c r="Y9" s="2" t="s">
        <v>40</v>
      </c>
      <c r="Z9" s="2" t="s">
        <v>40</v>
      </c>
    </row>
    <row r="10" spans="1:26" s="2" customFormat="1" x14ac:dyDescent="0.3">
      <c r="A10" s="2" t="s">
        <v>86</v>
      </c>
      <c r="B10" s="2" t="s">
        <v>44</v>
      </c>
      <c r="C10" s="2" t="s">
        <v>87</v>
      </c>
      <c r="D10" s="2" t="s">
        <v>88</v>
      </c>
      <c r="E10" s="4" t="s">
        <v>67</v>
      </c>
      <c r="F10" s="2" t="s">
        <v>48</v>
      </c>
      <c r="G10" s="2" t="s">
        <v>32</v>
      </c>
      <c r="H10" s="2" t="s">
        <v>89</v>
      </c>
      <c r="I10" t="s">
        <v>90</v>
      </c>
      <c r="J10" s="2" t="s">
        <v>35</v>
      </c>
      <c r="K10" s="2" t="s">
        <v>91</v>
      </c>
      <c r="L10" s="2" t="s">
        <v>53</v>
      </c>
      <c r="M10" s="2" t="s">
        <v>39</v>
      </c>
      <c r="N10" s="2" t="s">
        <v>52</v>
      </c>
      <c r="O10" s="2" t="s">
        <v>53</v>
      </c>
      <c r="P10" s="2" t="s">
        <v>40</v>
      </c>
      <c r="Q10" s="2" t="s">
        <v>40</v>
      </c>
      <c r="R10" s="2" t="s">
        <v>40</v>
      </c>
      <c r="S10" s="2" t="s">
        <v>40</v>
      </c>
      <c r="V10" s="2" t="s">
        <v>40</v>
      </c>
      <c r="W10" s="2" t="s">
        <v>40</v>
      </c>
      <c r="X10" s="2" t="s">
        <v>40</v>
      </c>
      <c r="Y10" s="2" t="s">
        <v>40</v>
      </c>
      <c r="Z10" s="2" t="s">
        <v>40</v>
      </c>
    </row>
    <row r="11" spans="1:26" s="2" customFormat="1" x14ac:dyDescent="0.3">
      <c r="A11" s="2" t="s">
        <v>92</v>
      </c>
      <c r="B11" s="2" t="s">
        <v>44</v>
      </c>
      <c r="C11" s="2" t="s">
        <v>93</v>
      </c>
      <c r="D11" s="2" t="s">
        <v>73</v>
      </c>
      <c r="E11" s="4" t="s">
        <v>67</v>
      </c>
      <c r="F11" s="2" t="s">
        <v>48</v>
      </c>
      <c r="G11" s="2" t="s">
        <v>32</v>
      </c>
      <c r="H11" s="2" t="s">
        <v>74</v>
      </c>
      <c r="I11" t="s">
        <v>90</v>
      </c>
      <c r="J11" s="2" t="s">
        <v>35</v>
      </c>
      <c r="K11" s="2" t="s">
        <v>94</v>
      </c>
      <c r="L11" s="2" t="s">
        <v>53</v>
      </c>
      <c r="M11" s="2" t="s">
        <v>38</v>
      </c>
      <c r="N11" s="2" t="s">
        <v>39</v>
      </c>
      <c r="O11" s="2" t="s">
        <v>85</v>
      </c>
      <c r="P11" s="2" t="s">
        <v>54</v>
      </c>
      <c r="Q11" s="2" t="s">
        <v>42</v>
      </c>
      <c r="R11" s="2" t="s">
        <v>54</v>
      </c>
      <c r="S11" s="2" t="s">
        <v>54</v>
      </c>
      <c r="V11" s="2" t="s">
        <v>54</v>
      </c>
      <c r="W11" s="2" t="s">
        <v>42</v>
      </c>
      <c r="X11" s="2" t="s">
        <v>42</v>
      </c>
      <c r="Y11" s="2" t="s">
        <v>42</v>
      </c>
      <c r="Z11" s="2" t="s">
        <v>54</v>
      </c>
    </row>
    <row r="12" spans="1:26" s="2" customFormat="1" ht="13.8" x14ac:dyDescent="0.3">
      <c r="A12" s="2" t="s">
        <v>95</v>
      </c>
      <c r="B12" s="2" t="s">
        <v>27</v>
      </c>
      <c r="C12" s="2" t="s">
        <v>96</v>
      </c>
      <c r="D12" s="2" t="s">
        <v>97</v>
      </c>
      <c r="E12" s="2" t="s">
        <v>30</v>
      </c>
      <c r="F12" s="2" t="s">
        <v>48</v>
      </c>
      <c r="G12" s="2" t="s">
        <v>98</v>
      </c>
      <c r="T12" s="2" t="s">
        <v>99</v>
      </c>
      <c r="U12" s="2" t="s">
        <v>54</v>
      </c>
      <c r="V12" s="2" t="s">
        <v>40</v>
      </c>
      <c r="W12" s="2" t="s">
        <v>40</v>
      </c>
      <c r="X12" s="2" t="s">
        <v>40</v>
      </c>
      <c r="Y12" s="2" t="s">
        <v>40</v>
      </c>
      <c r="Z12" s="2" t="s">
        <v>40</v>
      </c>
    </row>
    <row r="13" spans="1:26" s="2" customFormat="1" ht="13.8" x14ac:dyDescent="0.3">
      <c r="A13" s="2" t="s">
        <v>100</v>
      </c>
      <c r="B13" s="2" t="s">
        <v>44</v>
      </c>
      <c r="C13" s="2" t="s">
        <v>101</v>
      </c>
      <c r="D13" s="2" t="s">
        <v>73</v>
      </c>
      <c r="E13" s="3" t="s">
        <v>47</v>
      </c>
      <c r="F13" s="2" t="s">
        <v>48</v>
      </c>
      <c r="G13" s="2" t="s">
        <v>32</v>
      </c>
      <c r="H13" s="2" t="s">
        <v>102</v>
      </c>
      <c r="I13" s="2" t="s">
        <v>34</v>
      </c>
      <c r="J13" s="2" t="s">
        <v>35</v>
      </c>
      <c r="K13" s="2" t="s">
        <v>103</v>
      </c>
      <c r="L13" s="2" t="s">
        <v>53</v>
      </c>
      <c r="M13" s="2" t="s">
        <v>39</v>
      </c>
      <c r="N13" s="2" t="s">
        <v>52</v>
      </c>
      <c r="O13" s="2" t="s">
        <v>53</v>
      </c>
      <c r="P13" s="2" t="s">
        <v>54</v>
      </c>
      <c r="Q13" s="2" t="s">
        <v>42</v>
      </c>
      <c r="R13" s="2" t="s">
        <v>41</v>
      </c>
      <c r="S13" s="2" t="s">
        <v>41</v>
      </c>
      <c r="V13" s="2" t="s">
        <v>40</v>
      </c>
      <c r="W13" s="2" t="s">
        <v>40</v>
      </c>
      <c r="X13" s="2" t="s">
        <v>40</v>
      </c>
      <c r="Y13" s="2" t="s">
        <v>40</v>
      </c>
      <c r="Z13" s="2" t="s">
        <v>40</v>
      </c>
    </row>
    <row r="14" spans="1:26" s="2" customFormat="1" x14ac:dyDescent="0.3">
      <c r="A14" s="2" t="s">
        <v>104</v>
      </c>
      <c r="B14" s="2" t="s">
        <v>44</v>
      </c>
      <c r="C14" s="2" t="s">
        <v>105</v>
      </c>
      <c r="D14" s="2" t="s">
        <v>57</v>
      </c>
      <c r="E14" s="3" t="s">
        <v>47</v>
      </c>
      <c r="F14" s="2" t="s">
        <v>31</v>
      </c>
      <c r="G14" s="2" t="s">
        <v>32</v>
      </c>
      <c r="H14" s="2" t="s">
        <v>49</v>
      </c>
      <c r="I14" t="s">
        <v>90</v>
      </c>
      <c r="J14" s="2" t="s">
        <v>35</v>
      </c>
      <c r="K14" s="2" t="s">
        <v>59</v>
      </c>
      <c r="L14" s="2" t="s">
        <v>53</v>
      </c>
      <c r="M14" s="2" t="s">
        <v>38</v>
      </c>
      <c r="N14" s="2" t="s">
        <v>52</v>
      </c>
      <c r="O14" s="2" t="s">
        <v>53</v>
      </c>
      <c r="P14" s="2" t="s">
        <v>54</v>
      </c>
      <c r="Q14" s="2" t="s">
        <v>42</v>
      </c>
      <c r="R14" s="2" t="s">
        <v>54</v>
      </c>
      <c r="S14" s="2" t="s">
        <v>40</v>
      </c>
      <c r="V14" s="2" t="s">
        <v>54</v>
      </c>
      <c r="W14" s="2" t="s">
        <v>40</v>
      </c>
      <c r="X14" s="2" t="s">
        <v>42</v>
      </c>
      <c r="Y14" s="2" t="s">
        <v>40</v>
      </c>
      <c r="Z14" s="2" t="s">
        <v>40</v>
      </c>
    </row>
    <row r="15" spans="1:26" s="2" customFormat="1" ht="13.8" x14ac:dyDescent="0.3">
      <c r="A15" s="2" t="s">
        <v>106</v>
      </c>
      <c r="B15" s="2" t="s">
        <v>27</v>
      </c>
      <c r="C15" s="2" t="s">
        <v>107</v>
      </c>
      <c r="D15" s="2" t="s">
        <v>108</v>
      </c>
      <c r="E15" s="2" t="s">
        <v>63</v>
      </c>
      <c r="F15" s="2" t="s">
        <v>109</v>
      </c>
      <c r="G15" s="2" t="s">
        <v>32</v>
      </c>
      <c r="H15" s="2" t="s">
        <v>110</v>
      </c>
      <c r="I15" s="2" t="s">
        <v>69</v>
      </c>
      <c r="J15" s="2" t="s">
        <v>35</v>
      </c>
      <c r="K15" s="2" t="s">
        <v>111</v>
      </c>
      <c r="L15" s="2" t="s">
        <v>53</v>
      </c>
      <c r="M15" s="2" t="s">
        <v>52</v>
      </c>
      <c r="N15" s="2" t="s">
        <v>52</v>
      </c>
      <c r="O15" s="2" t="s">
        <v>112</v>
      </c>
      <c r="P15" s="2" t="s">
        <v>40</v>
      </c>
      <c r="Q15" s="2" t="s">
        <v>40</v>
      </c>
      <c r="R15" s="2" t="s">
        <v>41</v>
      </c>
      <c r="S15" s="2" t="s">
        <v>41</v>
      </c>
      <c r="V15" s="2" t="s">
        <v>40</v>
      </c>
      <c r="W15" s="2" t="s">
        <v>40</v>
      </c>
      <c r="X15" s="2" t="s">
        <v>40</v>
      </c>
      <c r="Y15" s="2" t="s">
        <v>40</v>
      </c>
      <c r="Z15" s="2" t="s">
        <v>40</v>
      </c>
    </row>
    <row r="16" spans="1:26" s="2" customFormat="1" ht="13.8" x14ac:dyDescent="0.3">
      <c r="A16" s="2" t="s">
        <v>113</v>
      </c>
      <c r="B16" s="2" t="s">
        <v>44</v>
      </c>
      <c r="C16" s="2" t="s">
        <v>114</v>
      </c>
      <c r="D16" s="2" t="s">
        <v>57</v>
      </c>
      <c r="E16" s="2" t="s">
        <v>63</v>
      </c>
      <c r="F16" s="2" t="s">
        <v>31</v>
      </c>
      <c r="G16" s="2" t="s">
        <v>32</v>
      </c>
      <c r="H16" s="2" t="s">
        <v>68</v>
      </c>
      <c r="I16" s="2" t="s">
        <v>50</v>
      </c>
      <c r="J16" s="2" t="s">
        <v>35</v>
      </c>
      <c r="K16" s="2" t="s">
        <v>71</v>
      </c>
      <c r="L16" s="2" t="s">
        <v>53</v>
      </c>
      <c r="M16" s="2" t="s">
        <v>38</v>
      </c>
      <c r="N16" s="2" t="s">
        <v>52</v>
      </c>
      <c r="O16" s="2" t="s">
        <v>53</v>
      </c>
      <c r="P16" s="2" t="s">
        <v>40</v>
      </c>
      <c r="Q16" s="2" t="s">
        <v>40</v>
      </c>
      <c r="R16" s="2" t="s">
        <v>40</v>
      </c>
      <c r="S16" s="2" t="s">
        <v>40</v>
      </c>
      <c r="V16" s="2" t="s">
        <v>40</v>
      </c>
      <c r="W16" s="2" t="s">
        <v>40</v>
      </c>
      <c r="X16" s="2" t="s">
        <v>40</v>
      </c>
      <c r="Y16" s="2" t="s">
        <v>40</v>
      </c>
      <c r="Z16" s="2" t="s">
        <v>40</v>
      </c>
    </row>
    <row r="17" spans="1:26" s="2" customFormat="1" ht="13.8" x14ac:dyDescent="0.3">
      <c r="A17" s="2" t="s">
        <v>115</v>
      </c>
      <c r="B17" s="2" t="s">
        <v>27</v>
      </c>
      <c r="C17" s="2" t="s">
        <v>116</v>
      </c>
      <c r="D17" s="2" t="s">
        <v>57</v>
      </c>
      <c r="E17" s="2" t="s">
        <v>63</v>
      </c>
      <c r="F17" s="2" t="s">
        <v>48</v>
      </c>
      <c r="G17" s="2" t="s">
        <v>32</v>
      </c>
      <c r="H17" s="2" t="s">
        <v>117</v>
      </c>
      <c r="I17" s="2" t="s">
        <v>50</v>
      </c>
      <c r="J17" s="2" t="s">
        <v>35</v>
      </c>
      <c r="K17" s="2" t="s">
        <v>118</v>
      </c>
      <c r="L17" s="2" t="s">
        <v>53</v>
      </c>
      <c r="M17" s="2" t="s">
        <v>38</v>
      </c>
      <c r="N17" s="2" t="s">
        <v>52</v>
      </c>
      <c r="O17" s="2" t="s">
        <v>37</v>
      </c>
      <c r="P17" s="2" t="s">
        <v>40</v>
      </c>
      <c r="Q17" s="2" t="s">
        <v>40</v>
      </c>
      <c r="R17" s="2" t="s">
        <v>40</v>
      </c>
      <c r="S17" s="2" t="s">
        <v>40</v>
      </c>
      <c r="V17" s="2" t="s">
        <v>40</v>
      </c>
      <c r="W17" s="2" t="s">
        <v>40</v>
      </c>
      <c r="X17" s="2" t="s">
        <v>40</v>
      </c>
      <c r="Y17" s="2" t="s">
        <v>40</v>
      </c>
      <c r="Z17" s="2" t="s">
        <v>40</v>
      </c>
    </row>
    <row r="18" spans="1:26" s="2" customFormat="1" x14ac:dyDescent="0.3">
      <c r="A18" s="2" t="s">
        <v>119</v>
      </c>
      <c r="B18" s="2" t="s">
        <v>44</v>
      </c>
      <c r="C18" s="2" t="s">
        <v>120</v>
      </c>
      <c r="D18" s="2" t="s">
        <v>121</v>
      </c>
      <c r="E18" s="3" t="s">
        <v>47</v>
      </c>
      <c r="F18" s="2" t="s">
        <v>122</v>
      </c>
      <c r="G18" s="2" t="s">
        <v>32</v>
      </c>
      <c r="H18" s="2" t="s">
        <v>68</v>
      </c>
      <c r="I18" t="s">
        <v>90</v>
      </c>
      <c r="J18" s="2" t="s">
        <v>35</v>
      </c>
      <c r="K18" s="2" t="s">
        <v>123</v>
      </c>
      <c r="L18" s="2" t="s">
        <v>53</v>
      </c>
      <c r="M18" s="2" t="s">
        <v>124</v>
      </c>
      <c r="N18" s="2" t="s">
        <v>39</v>
      </c>
      <c r="O18" s="2" t="s">
        <v>53</v>
      </c>
      <c r="P18" s="2" t="s">
        <v>41</v>
      </c>
      <c r="Q18" s="2" t="s">
        <v>76</v>
      </c>
      <c r="R18" s="2" t="s">
        <v>40</v>
      </c>
      <c r="S18" s="2" t="s">
        <v>41</v>
      </c>
      <c r="V18" s="2" t="s">
        <v>40</v>
      </c>
      <c r="W18" s="2" t="s">
        <v>125</v>
      </c>
      <c r="X18" s="2" t="s">
        <v>76</v>
      </c>
      <c r="Y18" s="2" t="s">
        <v>76</v>
      </c>
      <c r="Z18" s="2" t="s">
        <v>54</v>
      </c>
    </row>
    <row r="19" spans="1:26" s="2" customFormat="1" ht="13.8" x14ac:dyDescent="0.3">
      <c r="A19" s="2" t="s">
        <v>126</v>
      </c>
      <c r="B19" s="2" t="s">
        <v>44</v>
      </c>
      <c r="C19" s="2" t="s">
        <v>127</v>
      </c>
      <c r="D19" s="2" t="s">
        <v>73</v>
      </c>
      <c r="E19" s="4" t="s">
        <v>67</v>
      </c>
      <c r="F19" s="2" t="s">
        <v>128</v>
      </c>
      <c r="G19" s="2" t="s">
        <v>98</v>
      </c>
      <c r="T19" s="2" t="s">
        <v>129</v>
      </c>
      <c r="U19" s="2" t="s">
        <v>40</v>
      </c>
      <c r="V19" s="2" t="s">
        <v>40</v>
      </c>
      <c r="W19" s="2" t="s">
        <v>41</v>
      </c>
      <c r="X19" s="2" t="s">
        <v>40</v>
      </c>
      <c r="Y19" s="2" t="s">
        <v>40</v>
      </c>
      <c r="Z19" s="2" t="s">
        <v>40</v>
      </c>
    </row>
    <row r="20" spans="1:26" s="2" customFormat="1" x14ac:dyDescent="0.3">
      <c r="A20" s="2" t="s">
        <v>130</v>
      </c>
      <c r="B20" s="2" t="s">
        <v>44</v>
      </c>
      <c r="C20" s="2" t="s">
        <v>45</v>
      </c>
      <c r="D20" s="2" t="s">
        <v>46</v>
      </c>
      <c r="E20" s="3" t="s">
        <v>47</v>
      </c>
      <c r="F20" s="2" t="s">
        <v>48</v>
      </c>
      <c r="G20" s="2" t="s">
        <v>32</v>
      </c>
      <c r="H20" s="2" t="s">
        <v>33</v>
      </c>
      <c r="I20" t="s">
        <v>90</v>
      </c>
      <c r="J20" s="2" t="s">
        <v>35</v>
      </c>
      <c r="K20" s="2" t="s">
        <v>131</v>
      </c>
      <c r="L20" s="2" t="s">
        <v>37</v>
      </c>
      <c r="M20" s="2" t="s">
        <v>38</v>
      </c>
      <c r="N20" s="2" t="s">
        <v>39</v>
      </c>
      <c r="O20" s="2" t="s">
        <v>53</v>
      </c>
      <c r="P20" s="2" t="s">
        <v>41</v>
      </c>
      <c r="Q20" s="2" t="s">
        <v>40</v>
      </c>
      <c r="R20" s="2" t="s">
        <v>40</v>
      </c>
      <c r="S20" s="2" t="s">
        <v>40</v>
      </c>
      <c r="V20" s="2" t="s">
        <v>40</v>
      </c>
      <c r="W20" s="2" t="s">
        <v>40</v>
      </c>
      <c r="X20" s="2" t="s">
        <v>40</v>
      </c>
      <c r="Y20" s="2" t="s">
        <v>40</v>
      </c>
      <c r="Z20" s="2" t="s">
        <v>40</v>
      </c>
    </row>
    <row r="21" spans="1:26" s="2" customFormat="1" ht="13.8" x14ac:dyDescent="0.3">
      <c r="A21" s="2" t="s">
        <v>132</v>
      </c>
      <c r="B21" s="2" t="s">
        <v>27</v>
      </c>
      <c r="C21" s="2" t="s">
        <v>133</v>
      </c>
      <c r="D21" s="2" t="s">
        <v>62</v>
      </c>
      <c r="E21" s="4" t="s">
        <v>67</v>
      </c>
      <c r="F21" s="2" t="s">
        <v>31</v>
      </c>
      <c r="G21" s="2" t="s">
        <v>98</v>
      </c>
      <c r="T21" s="2" t="s">
        <v>134</v>
      </c>
      <c r="U21" s="2" t="s">
        <v>40</v>
      </c>
      <c r="V21" s="2" t="s">
        <v>40</v>
      </c>
      <c r="W21" s="2" t="s">
        <v>41</v>
      </c>
      <c r="X21" s="2" t="s">
        <v>41</v>
      </c>
      <c r="Y21" s="2" t="s">
        <v>40</v>
      </c>
      <c r="Z21" s="2" t="s">
        <v>40</v>
      </c>
    </row>
    <row r="22" spans="1:26" s="2" customFormat="1" x14ac:dyDescent="0.3">
      <c r="A22" s="2" t="s">
        <v>135</v>
      </c>
      <c r="B22" s="2" t="s">
        <v>27</v>
      </c>
      <c r="C22" s="2" t="s">
        <v>136</v>
      </c>
      <c r="D22" s="2" t="s">
        <v>73</v>
      </c>
      <c r="E22" s="4" t="s">
        <v>67</v>
      </c>
      <c r="F22" s="2" t="s">
        <v>48</v>
      </c>
      <c r="G22" s="2" t="s">
        <v>32</v>
      </c>
      <c r="H22" s="2" t="s">
        <v>58</v>
      </c>
      <c r="I22" t="s">
        <v>90</v>
      </c>
      <c r="J22" s="2" t="s">
        <v>35</v>
      </c>
      <c r="K22" s="2" t="s">
        <v>137</v>
      </c>
      <c r="L22" s="2" t="s">
        <v>37</v>
      </c>
      <c r="M22" s="2" t="s">
        <v>39</v>
      </c>
      <c r="N22" s="2" t="s">
        <v>52</v>
      </c>
      <c r="O22" s="2" t="s">
        <v>37</v>
      </c>
      <c r="P22" s="2" t="s">
        <v>40</v>
      </c>
      <c r="Q22" s="2" t="s">
        <v>42</v>
      </c>
      <c r="R22" s="2" t="s">
        <v>54</v>
      </c>
      <c r="S22" s="2" t="s">
        <v>54</v>
      </c>
      <c r="V22" s="2" t="s">
        <v>40</v>
      </c>
      <c r="W22" s="2" t="s">
        <v>40</v>
      </c>
      <c r="X22" s="2" t="s">
        <v>42</v>
      </c>
      <c r="Y22" s="2" t="s">
        <v>42</v>
      </c>
      <c r="Z22" s="2" t="s">
        <v>77</v>
      </c>
    </row>
    <row r="23" spans="1:26" s="2" customFormat="1" ht="13.8" x14ac:dyDescent="0.3">
      <c r="A23" s="2" t="s">
        <v>138</v>
      </c>
      <c r="B23" s="2" t="s">
        <v>27</v>
      </c>
      <c r="C23" s="2" t="s">
        <v>139</v>
      </c>
      <c r="D23" s="2" t="s">
        <v>140</v>
      </c>
      <c r="E23" s="4" t="s">
        <v>67</v>
      </c>
      <c r="F23" s="2" t="s">
        <v>141</v>
      </c>
      <c r="G23" s="2" t="s">
        <v>32</v>
      </c>
      <c r="H23" s="2" t="s">
        <v>33</v>
      </c>
      <c r="I23" s="2" t="s">
        <v>50</v>
      </c>
      <c r="J23" s="2" t="s">
        <v>35</v>
      </c>
      <c r="K23" s="2" t="s">
        <v>71</v>
      </c>
      <c r="L23" s="2" t="s">
        <v>37</v>
      </c>
      <c r="M23" s="2" t="s">
        <v>39</v>
      </c>
      <c r="N23" s="2" t="s">
        <v>52</v>
      </c>
      <c r="O23" s="2" t="s">
        <v>53</v>
      </c>
      <c r="P23" s="2" t="s">
        <v>54</v>
      </c>
      <c r="Q23" s="2" t="s">
        <v>42</v>
      </c>
      <c r="R23" s="2" t="s">
        <v>54</v>
      </c>
      <c r="S23" s="2" t="s">
        <v>40</v>
      </c>
      <c r="V23" s="2" t="s">
        <v>54</v>
      </c>
      <c r="W23" s="2" t="s">
        <v>42</v>
      </c>
      <c r="X23" s="2" t="s">
        <v>42</v>
      </c>
      <c r="Y23" s="2" t="s">
        <v>42</v>
      </c>
      <c r="Z23" s="2" t="s">
        <v>40</v>
      </c>
    </row>
    <row r="24" spans="1:26" s="2" customFormat="1" ht="13.8" x14ac:dyDescent="0.3">
      <c r="A24" s="2" t="s">
        <v>142</v>
      </c>
      <c r="B24" s="2" t="s">
        <v>27</v>
      </c>
      <c r="C24" s="2" t="s">
        <v>45</v>
      </c>
      <c r="D24" s="2" t="s">
        <v>46</v>
      </c>
      <c r="E24" s="3" t="s">
        <v>47</v>
      </c>
      <c r="F24" s="2" t="s">
        <v>143</v>
      </c>
      <c r="G24" s="2" t="s">
        <v>32</v>
      </c>
      <c r="H24" s="2" t="s">
        <v>144</v>
      </c>
      <c r="I24" s="2" t="s">
        <v>34</v>
      </c>
      <c r="J24" s="2" t="s">
        <v>145</v>
      </c>
      <c r="K24" s="2" t="s">
        <v>51</v>
      </c>
      <c r="L24" s="2" t="s">
        <v>53</v>
      </c>
      <c r="M24" s="2" t="s">
        <v>39</v>
      </c>
      <c r="N24" s="2" t="s">
        <v>52</v>
      </c>
      <c r="O24" s="2" t="s">
        <v>53</v>
      </c>
      <c r="P24" s="2" t="s">
        <v>40</v>
      </c>
      <c r="Q24" s="2" t="s">
        <v>42</v>
      </c>
      <c r="R24" s="2" t="s">
        <v>54</v>
      </c>
      <c r="S24" s="2" t="s">
        <v>54</v>
      </c>
      <c r="V24" s="2" t="s">
        <v>40</v>
      </c>
      <c r="W24" s="2" t="s">
        <v>41</v>
      </c>
      <c r="X24" s="2" t="s">
        <v>40</v>
      </c>
      <c r="Y24" s="2" t="s">
        <v>40</v>
      </c>
      <c r="Z24" s="2" t="s">
        <v>77</v>
      </c>
    </row>
    <row r="25" spans="1:26" s="2" customFormat="1" ht="13.8" x14ac:dyDescent="0.3">
      <c r="A25" s="2" t="s">
        <v>146</v>
      </c>
      <c r="B25" s="2" t="s">
        <v>27</v>
      </c>
      <c r="C25" s="2" t="s">
        <v>147</v>
      </c>
      <c r="D25" s="2" t="s">
        <v>148</v>
      </c>
      <c r="E25" s="4" t="s">
        <v>67</v>
      </c>
      <c r="F25" s="2" t="s">
        <v>149</v>
      </c>
      <c r="G25" s="2" t="s">
        <v>98</v>
      </c>
      <c r="T25" s="2" t="s">
        <v>150</v>
      </c>
      <c r="U25" s="2" t="s">
        <v>77</v>
      </c>
      <c r="V25" s="2" t="s">
        <v>54</v>
      </c>
      <c r="W25" s="2" t="s">
        <v>42</v>
      </c>
      <c r="X25" s="2" t="s">
        <v>42</v>
      </c>
      <c r="Y25" s="2" t="s">
        <v>42</v>
      </c>
      <c r="Z25" s="2" t="s">
        <v>77</v>
      </c>
    </row>
    <row r="26" spans="1:26" s="2" customFormat="1" ht="13.8" x14ac:dyDescent="0.3">
      <c r="A26" s="2" t="s">
        <v>151</v>
      </c>
      <c r="B26" s="2" t="s">
        <v>27</v>
      </c>
      <c r="C26" s="2" t="s">
        <v>45</v>
      </c>
      <c r="D26" s="2" t="s">
        <v>46</v>
      </c>
      <c r="E26" s="3" t="s">
        <v>47</v>
      </c>
      <c r="F26" s="2" t="s">
        <v>48</v>
      </c>
      <c r="G26" s="2" t="s">
        <v>32</v>
      </c>
      <c r="H26" s="2" t="s">
        <v>68</v>
      </c>
      <c r="I26" s="2" t="s">
        <v>34</v>
      </c>
      <c r="J26" s="2" t="s">
        <v>80</v>
      </c>
      <c r="K26" s="2" t="s">
        <v>81</v>
      </c>
      <c r="L26" s="2" t="s">
        <v>65</v>
      </c>
      <c r="M26" s="2" t="s">
        <v>52</v>
      </c>
      <c r="N26" s="2" t="s">
        <v>52</v>
      </c>
      <c r="O26" s="2" t="s">
        <v>112</v>
      </c>
      <c r="P26" s="2" t="s">
        <v>40</v>
      </c>
      <c r="Q26" s="2" t="s">
        <v>40</v>
      </c>
      <c r="R26" s="2" t="s">
        <v>40</v>
      </c>
      <c r="S26" s="2" t="s">
        <v>40</v>
      </c>
      <c r="V26" s="2" t="s">
        <v>40</v>
      </c>
      <c r="W26" s="2" t="s">
        <v>40</v>
      </c>
      <c r="X26" s="2" t="s">
        <v>40</v>
      </c>
      <c r="Y26" s="2" t="s">
        <v>40</v>
      </c>
      <c r="Z26" s="2" t="s">
        <v>40</v>
      </c>
    </row>
    <row r="27" spans="1:26" s="2" customFormat="1" x14ac:dyDescent="0.3">
      <c r="A27" s="2" t="s">
        <v>152</v>
      </c>
      <c r="B27" s="2" t="s">
        <v>44</v>
      </c>
      <c r="C27" s="2" t="s">
        <v>153</v>
      </c>
      <c r="D27" s="2" t="s">
        <v>73</v>
      </c>
      <c r="E27" s="2" t="s">
        <v>30</v>
      </c>
      <c r="F27" s="2" t="s">
        <v>48</v>
      </c>
      <c r="G27" s="2" t="s">
        <v>32</v>
      </c>
      <c r="H27" s="2" t="s">
        <v>49</v>
      </c>
      <c r="I27" t="s">
        <v>90</v>
      </c>
      <c r="J27" s="2" t="s">
        <v>35</v>
      </c>
      <c r="K27" s="2" t="s">
        <v>154</v>
      </c>
      <c r="L27" s="2" t="s">
        <v>53</v>
      </c>
      <c r="M27" s="2" t="s">
        <v>38</v>
      </c>
      <c r="N27" s="2" t="s">
        <v>39</v>
      </c>
      <c r="O27" s="2" t="s">
        <v>53</v>
      </c>
      <c r="P27" s="2" t="s">
        <v>41</v>
      </c>
      <c r="Q27" s="2" t="s">
        <v>40</v>
      </c>
      <c r="R27" s="2" t="s">
        <v>41</v>
      </c>
      <c r="S27" s="2" t="s">
        <v>76</v>
      </c>
      <c r="V27" s="2" t="s">
        <v>40</v>
      </c>
      <c r="W27" s="2" t="s">
        <v>40</v>
      </c>
      <c r="X27" s="2" t="s">
        <v>40</v>
      </c>
      <c r="Y27" s="2" t="s">
        <v>41</v>
      </c>
      <c r="Z27" s="2" t="s">
        <v>54</v>
      </c>
    </row>
    <row r="28" spans="1:26" s="2" customFormat="1" x14ac:dyDescent="0.3">
      <c r="A28" s="2" t="s">
        <v>155</v>
      </c>
      <c r="B28" s="2" t="s">
        <v>44</v>
      </c>
      <c r="C28" s="2" t="s">
        <v>156</v>
      </c>
      <c r="D28" s="2" t="s">
        <v>157</v>
      </c>
      <c r="E28" s="3" t="s">
        <v>47</v>
      </c>
      <c r="F28" s="2" t="s">
        <v>158</v>
      </c>
      <c r="G28" s="2" t="s">
        <v>32</v>
      </c>
      <c r="H28" s="2" t="s">
        <v>159</v>
      </c>
      <c r="I28" t="s">
        <v>90</v>
      </c>
      <c r="J28" s="2" t="s">
        <v>35</v>
      </c>
      <c r="K28" s="2" t="s">
        <v>160</v>
      </c>
      <c r="L28" s="2" t="s">
        <v>53</v>
      </c>
      <c r="M28" s="2" t="s">
        <v>38</v>
      </c>
      <c r="N28" s="2" t="s">
        <v>52</v>
      </c>
      <c r="O28" s="2" t="s">
        <v>53</v>
      </c>
      <c r="P28" s="2" t="s">
        <v>40</v>
      </c>
      <c r="Q28" s="2" t="s">
        <v>40</v>
      </c>
      <c r="R28" s="2" t="s">
        <v>40</v>
      </c>
      <c r="S28" s="2" t="s">
        <v>40</v>
      </c>
      <c r="V28" s="2" t="s">
        <v>40</v>
      </c>
      <c r="W28" s="2" t="s">
        <v>40</v>
      </c>
      <c r="X28" s="2" t="s">
        <v>40</v>
      </c>
      <c r="Y28" s="2" t="s">
        <v>42</v>
      </c>
      <c r="Z28" s="2" t="s">
        <v>40</v>
      </c>
    </row>
    <row r="29" spans="1:26" s="2" customFormat="1" ht="13.8" x14ac:dyDescent="0.3">
      <c r="A29" s="2" t="s">
        <v>161</v>
      </c>
      <c r="B29" s="2" t="s">
        <v>44</v>
      </c>
      <c r="C29" s="2" t="s">
        <v>162</v>
      </c>
      <c r="D29" s="2" t="s">
        <v>163</v>
      </c>
      <c r="E29" s="4" t="s">
        <v>67</v>
      </c>
      <c r="F29" s="2" t="s">
        <v>48</v>
      </c>
      <c r="G29" s="2" t="s">
        <v>32</v>
      </c>
      <c r="H29" s="2" t="s">
        <v>164</v>
      </c>
      <c r="I29" s="2" t="s">
        <v>50</v>
      </c>
      <c r="J29" s="2" t="s">
        <v>35</v>
      </c>
      <c r="K29" s="2" t="s">
        <v>165</v>
      </c>
      <c r="L29" s="2" t="s">
        <v>37</v>
      </c>
      <c r="M29" s="2" t="s">
        <v>39</v>
      </c>
      <c r="N29" s="2" t="s">
        <v>52</v>
      </c>
      <c r="O29" s="2" t="s">
        <v>112</v>
      </c>
      <c r="P29" s="2" t="s">
        <v>41</v>
      </c>
      <c r="Q29" s="2" t="s">
        <v>40</v>
      </c>
      <c r="R29" s="2" t="s">
        <v>40</v>
      </c>
      <c r="S29" s="2" t="s">
        <v>40</v>
      </c>
      <c r="V29" s="2" t="s">
        <v>40</v>
      </c>
      <c r="W29" s="2" t="s">
        <v>40</v>
      </c>
      <c r="X29" s="2" t="s">
        <v>40</v>
      </c>
      <c r="Y29" s="2" t="s">
        <v>40</v>
      </c>
      <c r="Z29" s="2" t="s">
        <v>77</v>
      </c>
    </row>
    <row r="30" spans="1:26" s="2" customFormat="1" ht="13.8" x14ac:dyDescent="0.3">
      <c r="A30" s="2" t="s">
        <v>166</v>
      </c>
      <c r="B30" s="2" t="s">
        <v>44</v>
      </c>
      <c r="C30" s="2" t="s">
        <v>167</v>
      </c>
      <c r="D30" s="2" t="s">
        <v>57</v>
      </c>
      <c r="E30" s="3" t="s">
        <v>47</v>
      </c>
      <c r="F30" s="2" t="s">
        <v>109</v>
      </c>
      <c r="G30" s="2" t="s">
        <v>98</v>
      </c>
      <c r="T30" s="2" t="s">
        <v>99</v>
      </c>
      <c r="U30" s="2" t="s">
        <v>40</v>
      </c>
      <c r="V30" s="2" t="s">
        <v>40</v>
      </c>
      <c r="W30" s="2" t="s">
        <v>41</v>
      </c>
      <c r="X30" s="2" t="s">
        <v>40</v>
      </c>
      <c r="Y30" s="2" t="s">
        <v>41</v>
      </c>
      <c r="Z30" s="2" t="s">
        <v>77</v>
      </c>
    </row>
    <row r="31" spans="1:26" s="2" customFormat="1" x14ac:dyDescent="0.3">
      <c r="A31" s="2" t="s">
        <v>168</v>
      </c>
      <c r="B31" s="2" t="s">
        <v>44</v>
      </c>
      <c r="C31" s="2" t="s">
        <v>169</v>
      </c>
      <c r="D31" s="2" t="s">
        <v>62</v>
      </c>
      <c r="E31" s="3" t="s">
        <v>47</v>
      </c>
      <c r="F31" s="2" t="s">
        <v>48</v>
      </c>
      <c r="G31" s="2" t="s">
        <v>32</v>
      </c>
      <c r="H31" s="2" t="s">
        <v>170</v>
      </c>
      <c r="I31" t="s">
        <v>90</v>
      </c>
      <c r="J31" s="2" t="s">
        <v>70</v>
      </c>
      <c r="K31" s="2" t="s">
        <v>171</v>
      </c>
      <c r="L31" s="2" t="s">
        <v>53</v>
      </c>
      <c r="M31" s="2" t="s">
        <v>39</v>
      </c>
      <c r="N31" s="2" t="s">
        <v>52</v>
      </c>
      <c r="O31" s="2" t="s">
        <v>53</v>
      </c>
      <c r="P31" s="2" t="s">
        <v>40</v>
      </c>
      <c r="Q31" s="2" t="s">
        <v>42</v>
      </c>
      <c r="R31" s="2" t="s">
        <v>40</v>
      </c>
      <c r="S31" s="2" t="s">
        <v>40</v>
      </c>
      <c r="V31" s="2" t="s">
        <v>41</v>
      </c>
      <c r="W31" s="2" t="s">
        <v>40</v>
      </c>
      <c r="X31" s="2" t="s">
        <v>41</v>
      </c>
      <c r="Y31" s="2" t="s">
        <v>42</v>
      </c>
      <c r="Z31" s="2" t="s">
        <v>77</v>
      </c>
    </row>
    <row r="32" spans="1:26" s="2" customFormat="1" ht="13.8" x14ac:dyDescent="0.3">
      <c r="A32" s="2" t="s">
        <v>172</v>
      </c>
      <c r="B32" s="2" t="s">
        <v>27</v>
      </c>
      <c r="C32" s="2" t="s">
        <v>45</v>
      </c>
      <c r="D32" s="2" t="s">
        <v>73</v>
      </c>
      <c r="E32" s="4" t="s">
        <v>67</v>
      </c>
      <c r="F32" s="2" t="s">
        <v>48</v>
      </c>
      <c r="G32" s="2" t="s">
        <v>32</v>
      </c>
      <c r="H32" s="2" t="s">
        <v>173</v>
      </c>
      <c r="I32" s="2" t="s">
        <v>50</v>
      </c>
      <c r="J32" s="2" t="s">
        <v>35</v>
      </c>
      <c r="K32" s="2" t="s">
        <v>137</v>
      </c>
      <c r="L32" s="2" t="s">
        <v>84</v>
      </c>
      <c r="M32" s="2" t="s">
        <v>124</v>
      </c>
      <c r="N32" s="2" t="s">
        <v>52</v>
      </c>
      <c r="O32" s="2" t="s">
        <v>85</v>
      </c>
      <c r="P32" s="2" t="s">
        <v>54</v>
      </c>
      <c r="Q32" s="2" t="s">
        <v>42</v>
      </c>
      <c r="R32" s="2" t="s">
        <v>54</v>
      </c>
      <c r="S32" s="2" t="s">
        <v>54</v>
      </c>
      <c r="V32" s="2" t="s">
        <v>54</v>
      </c>
      <c r="W32" s="2" t="s">
        <v>42</v>
      </c>
      <c r="X32" s="2" t="s">
        <v>42</v>
      </c>
      <c r="Y32" s="2" t="s">
        <v>42</v>
      </c>
      <c r="Z32" s="2" t="s">
        <v>54</v>
      </c>
    </row>
    <row r="33" spans="1:26" s="2" customFormat="1" x14ac:dyDescent="0.3">
      <c r="A33" s="2" t="s">
        <v>174</v>
      </c>
      <c r="B33" s="2" t="s">
        <v>44</v>
      </c>
      <c r="C33" s="2" t="s">
        <v>153</v>
      </c>
      <c r="D33" s="2" t="s">
        <v>73</v>
      </c>
      <c r="E33" s="4" t="s">
        <v>67</v>
      </c>
      <c r="F33" s="2" t="s">
        <v>48</v>
      </c>
      <c r="G33" s="2" t="s">
        <v>32</v>
      </c>
      <c r="H33" s="2" t="s">
        <v>175</v>
      </c>
      <c r="I33" t="s">
        <v>90</v>
      </c>
      <c r="J33" s="2" t="s">
        <v>35</v>
      </c>
      <c r="K33" s="2" t="s">
        <v>137</v>
      </c>
      <c r="L33" s="2" t="s">
        <v>84</v>
      </c>
      <c r="M33" s="2" t="s">
        <v>124</v>
      </c>
      <c r="N33" s="2" t="s">
        <v>52</v>
      </c>
      <c r="O33" s="2" t="s">
        <v>85</v>
      </c>
      <c r="P33" s="2" t="s">
        <v>54</v>
      </c>
      <c r="Q33" s="2" t="s">
        <v>42</v>
      </c>
      <c r="R33" s="2" t="s">
        <v>54</v>
      </c>
      <c r="S33" s="2" t="s">
        <v>54</v>
      </c>
      <c r="V33" s="2" t="s">
        <v>54</v>
      </c>
      <c r="W33" s="2" t="s">
        <v>42</v>
      </c>
      <c r="X33" s="2" t="s">
        <v>42</v>
      </c>
      <c r="Y33" s="2" t="s">
        <v>42</v>
      </c>
      <c r="Z33" s="2" t="s">
        <v>54</v>
      </c>
    </row>
    <row r="34" spans="1:26" s="2" customFormat="1" ht="13.8" x14ac:dyDescent="0.3">
      <c r="A34" s="2" t="s">
        <v>176</v>
      </c>
      <c r="B34" s="2" t="s">
        <v>44</v>
      </c>
      <c r="C34" s="2" t="s">
        <v>45</v>
      </c>
      <c r="D34" s="2" t="s">
        <v>46</v>
      </c>
      <c r="E34" s="4" t="s">
        <v>67</v>
      </c>
      <c r="F34" s="2" t="s">
        <v>109</v>
      </c>
      <c r="G34" s="2" t="s">
        <v>32</v>
      </c>
      <c r="H34" s="2" t="s">
        <v>49</v>
      </c>
      <c r="I34" s="2" t="s">
        <v>34</v>
      </c>
      <c r="J34" s="2" t="s">
        <v>35</v>
      </c>
      <c r="K34" s="2" t="s">
        <v>71</v>
      </c>
      <c r="L34" s="2" t="s">
        <v>53</v>
      </c>
      <c r="M34" s="2" t="s">
        <v>39</v>
      </c>
      <c r="N34" s="2" t="s">
        <v>52</v>
      </c>
      <c r="O34" s="2" t="s">
        <v>37</v>
      </c>
      <c r="P34" s="2" t="s">
        <v>54</v>
      </c>
      <c r="Q34" s="2" t="s">
        <v>42</v>
      </c>
      <c r="R34" s="2" t="s">
        <v>54</v>
      </c>
      <c r="S34" s="2" t="s">
        <v>54</v>
      </c>
      <c r="V34" s="2" t="s">
        <v>54</v>
      </c>
      <c r="W34" s="2" t="s">
        <v>42</v>
      </c>
      <c r="X34" s="2" t="s">
        <v>42</v>
      </c>
      <c r="Y34" s="2" t="s">
        <v>42</v>
      </c>
      <c r="Z34" s="2" t="s">
        <v>54</v>
      </c>
    </row>
    <row r="35" spans="1:26" s="2" customFormat="1" ht="13.8" x14ac:dyDescent="0.3">
      <c r="A35" s="2" t="s">
        <v>177</v>
      </c>
      <c r="B35" s="2" t="s">
        <v>44</v>
      </c>
      <c r="C35" s="2" t="s">
        <v>178</v>
      </c>
      <c r="D35" s="2" t="s">
        <v>46</v>
      </c>
      <c r="E35" s="2" t="s">
        <v>63</v>
      </c>
      <c r="F35" s="2" t="s">
        <v>48</v>
      </c>
      <c r="G35" s="2" t="s">
        <v>98</v>
      </c>
      <c r="T35" s="2" t="s">
        <v>179</v>
      </c>
      <c r="U35" s="2" t="s">
        <v>77</v>
      </c>
      <c r="V35" s="2" t="s">
        <v>41</v>
      </c>
      <c r="W35" s="2" t="s">
        <v>41</v>
      </c>
      <c r="X35" s="2" t="s">
        <v>41</v>
      </c>
      <c r="Y35" s="2" t="s">
        <v>40</v>
      </c>
      <c r="Z35" s="2" t="s">
        <v>40</v>
      </c>
    </row>
    <row r="36" spans="1:26" s="2" customFormat="1" x14ac:dyDescent="0.3">
      <c r="A36" s="2" t="s">
        <v>180</v>
      </c>
      <c r="B36" s="2" t="s">
        <v>44</v>
      </c>
      <c r="C36" s="2" t="s">
        <v>181</v>
      </c>
      <c r="D36" s="2" t="s">
        <v>73</v>
      </c>
      <c r="E36" s="4" t="s">
        <v>67</v>
      </c>
      <c r="F36" s="2" t="s">
        <v>48</v>
      </c>
      <c r="G36" s="2" t="s">
        <v>32</v>
      </c>
      <c r="H36" s="2" t="s">
        <v>182</v>
      </c>
      <c r="I36" t="s">
        <v>90</v>
      </c>
      <c r="J36" s="2" t="s">
        <v>35</v>
      </c>
      <c r="K36" s="2" t="s">
        <v>103</v>
      </c>
      <c r="L36" s="2" t="s">
        <v>84</v>
      </c>
      <c r="M36" s="2" t="s">
        <v>38</v>
      </c>
      <c r="N36" s="2" t="s">
        <v>52</v>
      </c>
      <c r="O36" s="2" t="s">
        <v>85</v>
      </c>
      <c r="P36" s="2" t="s">
        <v>54</v>
      </c>
      <c r="Q36" s="2" t="s">
        <v>42</v>
      </c>
      <c r="R36" s="2" t="s">
        <v>54</v>
      </c>
      <c r="S36" s="2" t="s">
        <v>40</v>
      </c>
      <c r="V36" s="2" t="s">
        <v>40</v>
      </c>
      <c r="W36" s="2" t="s">
        <v>40</v>
      </c>
      <c r="X36" s="2" t="s">
        <v>40</v>
      </c>
      <c r="Y36" s="2" t="s">
        <v>40</v>
      </c>
      <c r="Z36" s="2" t="s">
        <v>40</v>
      </c>
    </row>
    <row r="37" spans="1:26" s="2" customFormat="1" ht="13.8" x14ac:dyDescent="0.3">
      <c r="A37" s="2" t="s">
        <v>183</v>
      </c>
      <c r="B37" s="2" t="s">
        <v>27</v>
      </c>
      <c r="C37" s="2" t="s">
        <v>184</v>
      </c>
      <c r="D37" s="2" t="s">
        <v>73</v>
      </c>
      <c r="E37" s="4" t="s">
        <v>67</v>
      </c>
      <c r="F37" s="2" t="s">
        <v>48</v>
      </c>
      <c r="G37" s="2" t="s">
        <v>32</v>
      </c>
      <c r="H37" s="2" t="s">
        <v>83</v>
      </c>
      <c r="I37" s="2" t="s">
        <v>50</v>
      </c>
      <c r="J37" s="2" t="s">
        <v>35</v>
      </c>
      <c r="K37" s="2" t="s">
        <v>103</v>
      </c>
      <c r="L37" s="2" t="s">
        <v>53</v>
      </c>
      <c r="M37" s="2" t="s">
        <v>39</v>
      </c>
      <c r="N37" s="2" t="s">
        <v>52</v>
      </c>
      <c r="O37" s="2" t="s">
        <v>37</v>
      </c>
      <c r="P37" s="2" t="s">
        <v>54</v>
      </c>
      <c r="Q37" s="2" t="s">
        <v>42</v>
      </c>
      <c r="R37" s="2" t="s">
        <v>54</v>
      </c>
      <c r="S37" s="2" t="s">
        <v>54</v>
      </c>
      <c r="V37" s="2" t="s">
        <v>54</v>
      </c>
      <c r="W37" s="2" t="s">
        <v>42</v>
      </c>
      <c r="X37" s="2" t="s">
        <v>42</v>
      </c>
      <c r="Y37" s="2" t="s">
        <v>42</v>
      </c>
      <c r="Z37" s="2" t="s">
        <v>54</v>
      </c>
    </row>
    <row r="38" spans="1:26" s="2" customFormat="1" ht="13.8" x14ac:dyDescent="0.3">
      <c r="A38" s="2" t="s">
        <v>185</v>
      </c>
      <c r="B38" s="2" t="s">
        <v>44</v>
      </c>
      <c r="C38" s="2" t="s">
        <v>153</v>
      </c>
      <c r="D38" s="2" t="s">
        <v>46</v>
      </c>
      <c r="E38" s="4" t="s">
        <v>67</v>
      </c>
      <c r="F38" s="2" t="s">
        <v>48</v>
      </c>
      <c r="G38" s="2" t="s">
        <v>32</v>
      </c>
      <c r="H38" s="2" t="s">
        <v>74</v>
      </c>
      <c r="I38" s="2" t="s">
        <v>50</v>
      </c>
      <c r="J38" s="2" t="s">
        <v>70</v>
      </c>
      <c r="K38" s="2" t="s">
        <v>71</v>
      </c>
      <c r="L38" s="2" t="s">
        <v>53</v>
      </c>
      <c r="M38" s="2" t="s">
        <v>38</v>
      </c>
      <c r="N38" s="2" t="s">
        <v>52</v>
      </c>
      <c r="O38" s="2" t="s">
        <v>37</v>
      </c>
      <c r="P38" s="2" t="s">
        <v>54</v>
      </c>
      <c r="Q38" s="2" t="s">
        <v>42</v>
      </c>
      <c r="R38" s="2" t="s">
        <v>54</v>
      </c>
      <c r="S38" s="2" t="s">
        <v>54</v>
      </c>
      <c r="V38" s="2" t="s">
        <v>54</v>
      </c>
      <c r="W38" s="2" t="s">
        <v>42</v>
      </c>
      <c r="X38" s="2" t="s">
        <v>42</v>
      </c>
      <c r="Y38" s="2" t="s">
        <v>42</v>
      </c>
      <c r="Z38" s="2" t="s">
        <v>54</v>
      </c>
    </row>
    <row r="39" spans="1:26" s="2" customFormat="1" ht="13.8" x14ac:dyDescent="0.3">
      <c r="A39" s="2" t="s">
        <v>186</v>
      </c>
      <c r="B39" s="2" t="s">
        <v>27</v>
      </c>
      <c r="C39" s="2" t="s">
        <v>187</v>
      </c>
      <c r="D39" s="2" t="s">
        <v>57</v>
      </c>
      <c r="E39" s="3" t="s">
        <v>47</v>
      </c>
      <c r="F39" s="2" t="s">
        <v>48</v>
      </c>
      <c r="G39" s="2" t="s">
        <v>32</v>
      </c>
      <c r="H39" s="2" t="s">
        <v>170</v>
      </c>
      <c r="I39" s="2" t="s">
        <v>34</v>
      </c>
      <c r="J39" s="2" t="s">
        <v>70</v>
      </c>
      <c r="K39" s="2" t="s">
        <v>71</v>
      </c>
      <c r="L39" s="2" t="s">
        <v>53</v>
      </c>
      <c r="M39" s="2" t="s">
        <v>38</v>
      </c>
      <c r="N39" s="2" t="s">
        <v>39</v>
      </c>
      <c r="O39" s="2" t="s">
        <v>37</v>
      </c>
      <c r="P39" s="2" t="s">
        <v>54</v>
      </c>
      <c r="Q39" s="2" t="s">
        <v>42</v>
      </c>
      <c r="R39" s="2" t="s">
        <v>40</v>
      </c>
      <c r="S39" s="2" t="s">
        <v>54</v>
      </c>
      <c r="V39" s="2" t="s">
        <v>40</v>
      </c>
      <c r="W39" s="2" t="s">
        <v>40</v>
      </c>
      <c r="X39" s="2" t="s">
        <v>40</v>
      </c>
      <c r="Y39" s="2" t="s">
        <v>40</v>
      </c>
      <c r="Z39" s="2" t="s">
        <v>54</v>
      </c>
    </row>
    <row r="40" spans="1:26" s="2" customFormat="1" ht="13.8" x14ac:dyDescent="0.3">
      <c r="A40" s="2" t="s">
        <v>188</v>
      </c>
      <c r="B40" s="2" t="s">
        <v>44</v>
      </c>
      <c r="C40" s="2" t="s">
        <v>45</v>
      </c>
      <c r="D40" s="2" t="s">
        <v>73</v>
      </c>
      <c r="E40" s="2" t="s">
        <v>30</v>
      </c>
      <c r="F40" s="2" t="s">
        <v>48</v>
      </c>
      <c r="G40" s="2" t="s">
        <v>32</v>
      </c>
      <c r="H40" s="2" t="s">
        <v>189</v>
      </c>
      <c r="I40" s="2" t="s">
        <v>69</v>
      </c>
      <c r="J40" s="2" t="s">
        <v>35</v>
      </c>
      <c r="K40" s="2" t="s">
        <v>190</v>
      </c>
      <c r="L40" s="2" t="s">
        <v>65</v>
      </c>
      <c r="M40" s="2" t="s">
        <v>52</v>
      </c>
      <c r="N40" s="2" t="s">
        <v>52</v>
      </c>
      <c r="O40" s="2" t="s">
        <v>112</v>
      </c>
      <c r="P40" s="2" t="s">
        <v>40</v>
      </c>
      <c r="Q40" s="2" t="s">
        <v>40</v>
      </c>
      <c r="R40" s="2" t="s">
        <v>40</v>
      </c>
      <c r="S40" s="2" t="s">
        <v>40</v>
      </c>
      <c r="V40" s="2" t="s">
        <v>40</v>
      </c>
      <c r="W40" s="2" t="s">
        <v>40</v>
      </c>
      <c r="X40" s="2" t="s">
        <v>40</v>
      </c>
      <c r="Y40" s="2" t="s">
        <v>40</v>
      </c>
      <c r="Z40" s="2" t="s">
        <v>40</v>
      </c>
    </row>
    <row r="41" spans="1:26" s="2" customFormat="1" ht="13.8" x14ac:dyDescent="0.3">
      <c r="A41" s="2" t="s">
        <v>191</v>
      </c>
      <c r="B41" s="2" t="s">
        <v>44</v>
      </c>
      <c r="C41" s="2" t="s">
        <v>153</v>
      </c>
      <c r="D41" s="2" t="s">
        <v>192</v>
      </c>
      <c r="E41" s="3" t="s">
        <v>47</v>
      </c>
      <c r="F41" s="2" t="s">
        <v>48</v>
      </c>
      <c r="G41" s="2" t="s">
        <v>32</v>
      </c>
      <c r="H41" s="2" t="s">
        <v>193</v>
      </c>
      <c r="I41" s="2" t="s">
        <v>50</v>
      </c>
      <c r="J41" s="2" t="s">
        <v>70</v>
      </c>
      <c r="K41" s="2" t="s">
        <v>194</v>
      </c>
      <c r="L41" s="2" t="s">
        <v>37</v>
      </c>
      <c r="M41" s="2" t="s">
        <v>39</v>
      </c>
      <c r="N41" s="2" t="s">
        <v>52</v>
      </c>
      <c r="O41" s="2" t="s">
        <v>53</v>
      </c>
      <c r="P41" s="2" t="s">
        <v>40</v>
      </c>
      <c r="Q41" s="2" t="s">
        <v>41</v>
      </c>
      <c r="R41" s="2" t="s">
        <v>40</v>
      </c>
      <c r="S41" s="2" t="s">
        <v>40</v>
      </c>
      <c r="V41" s="2" t="s">
        <v>40</v>
      </c>
      <c r="W41" s="2" t="s">
        <v>40</v>
      </c>
      <c r="X41" s="2" t="s">
        <v>40</v>
      </c>
      <c r="Y41" s="2" t="s">
        <v>40</v>
      </c>
      <c r="Z41" s="2" t="s">
        <v>40</v>
      </c>
    </row>
    <row r="42" spans="1:26" s="2" customFormat="1" ht="13.8" x14ac:dyDescent="0.3">
      <c r="A42" s="2" t="s">
        <v>195</v>
      </c>
      <c r="B42" s="2" t="s">
        <v>44</v>
      </c>
      <c r="C42" s="2" t="s">
        <v>45</v>
      </c>
      <c r="D42" s="2" t="s">
        <v>62</v>
      </c>
      <c r="E42" s="2" t="s">
        <v>63</v>
      </c>
      <c r="F42" s="2" t="s">
        <v>48</v>
      </c>
      <c r="G42" s="2" t="s">
        <v>32</v>
      </c>
      <c r="H42" s="2" t="s">
        <v>49</v>
      </c>
      <c r="I42" s="2" t="s">
        <v>50</v>
      </c>
      <c r="J42" s="2" t="s">
        <v>35</v>
      </c>
      <c r="K42" s="2" t="s">
        <v>71</v>
      </c>
      <c r="L42" s="2" t="s">
        <v>84</v>
      </c>
      <c r="M42" s="2" t="s">
        <v>39</v>
      </c>
      <c r="N42" s="2" t="s">
        <v>52</v>
      </c>
      <c r="O42" s="2" t="s">
        <v>37</v>
      </c>
      <c r="P42" s="2" t="s">
        <v>40</v>
      </c>
      <c r="Q42" s="2" t="s">
        <v>40</v>
      </c>
      <c r="R42" s="2" t="s">
        <v>40</v>
      </c>
      <c r="S42" s="2" t="s">
        <v>40</v>
      </c>
      <c r="V42" s="2" t="s">
        <v>40</v>
      </c>
      <c r="W42" s="2" t="s">
        <v>41</v>
      </c>
      <c r="X42" s="2" t="s">
        <v>40</v>
      </c>
      <c r="Y42" s="2" t="s">
        <v>40</v>
      </c>
      <c r="Z42" s="2" t="s">
        <v>40</v>
      </c>
    </row>
    <row r="43" spans="1:26" s="2" customFormat="1" ht="13.8" x14ac:dyDescent="0.3">
      <c r="A43" s="2" t="s">
        <v>196</v>
      </c>
      <c r="B43" s="2" t="s">
        <v>27</v>
      </c>
      <c r="C43" s="2" t="s">
        <v>178</v>
      </c>
      <c r="D43" s="2" t="s">
        <v>46</v>
      </c>
      <c r="E43" s="4" t="s">
        <v>67</v>
      </c>
      <c r="F43" s="2" t="s">
        <v>31</v>
      </c>
      <c r="G43" s="2" t="s">
        <v>32</v>
      </c>
      <c r="H43" s="2" t="s">
        <v>33</v>
      </c>
      <c r="I43" s="2" t="s">
        <v>50</v>
      </c>
      <c r="J43" s="2" t="s">
        <v>35</v>
      </c>
      <c r="K43" s="2" t="s">
        <v>71</v>
      </c>
      <c r="L43" s="2" t="s">
        <v>53</v>
      </c>
      <c r="M43" s="2" t="s">
        <v>38</v>
      </c>
      <c r="N43" s="2" t="s">
        <v>39</v>
      </c>
      <c r="O43" s="2" t="s">
        <v>53</v>
      </c>
      <c r="P43" s="2" t="s">
        <v>41</v>
      </c>
      <c r="Q43" s="2" t="s">
        <v>41</v>
      </c>
      <c r="R43" s="2" t="s">
        <v>40</v>
      </c>
      <c r="S43" s="2" t="s">
        <v>40</v>
      </c>
      <c r="V43" s="2" t="s">
        <v>41</v>
      </c>
      <c r="W43" s="2" t="s">
        <v>41</v>
      </c>
      <c r="X43" s="2" t="s">
        <v>41</v>
      </c>
      <c r="Y43" s="2" t="s">
        <v>40</v>
      </c>
      <c r="Z43" s="2" t="s">
        <v>40</v>
      </c>
    </row>
    <row r="44" spans="1:26" s="2" customFormat="1" x14ac:dyDescent="0.3">
      <c r="A44" s="2" t="s">
        <v>197</v>
      </c>
      <c r="B44" s="2" t="s">
        <v>44</v>
      </c>
      <c r="C44" s="2" t="s">
        <v>198</v>
      </c>
      <c r="D44" s="2" t="s">
        <v>62</v>
      </c>
      <c r="E44" s="2" t="s">
        <v>63</v>
      </c>
      <c r="F44" s="2" t="s">
        <v>48</v>
      </c>
      <c r="G44" s="2" t="s">
        <v>32</v>
      </c>
      <c r="H44" s="2" t="s">
        <v>33</v>
      </c>
      <c r="I44" t="s">
        <v>90</v>
      </c>
      <c r="J44" s="2" t="s">
        <v>70</v>
      </c>
      <c r="K44" s="2" t="s">
        <v>199</v>
      </c>
      <c r="L44" s="2" t="s">
        <v>65</v>
      </c>
      <c r="M44" s="2" t="s">
        <v>38</v>
      </c>
      <c r="N44" s="2" t="s">
        <v>39</v>
      </c>
      <c r="O44" s="2" t="s">
        <v>53</v>
      </c>
      <c r="P44" s="2" t="s">
        <v>40</v>
      </c>
      <c r="Q44" s="2" t="s">
        <v>40</v>
      </c>
      <c r="R44" s="2" t="s">
        <v>40</v>
      </c>
      <c r="S44" s="2" t="s">
        <v>40</v>
      </c>
      <c r="V44" s="2" t="s">
        <v>40</v>
      </c>
      <c r="W44" s="2" t="s">
        <v>40</v>
      </c>
      <c r="X44" s="2" t="s">
        <v>40</v>
      </c>
      <c r="Y44" s="2" t="s">
        <v>40</v>
      </c>
      <c r="Z44" s="2" t="s">
        <v>40</v>
      </c>
    </row>
    <row r="45" spans="1:26" s="2" customFormat="1" ht="13.8" x14ac:dyDescent="0.3">
      <c r="A45" s="2" t="s">
        <v>200</v>
      </c>
      <c r="B45" s="2" t="s">
        <v>27</v>
      </c>
      <c r="C45" s="2" t="s">
        <v>45</v>
      </c>
      <c r="D45" s="2" t="s">
        <v>108</v>
      </c>
      <c r="E45" s="2" t="s">
        <v>30</v>
      </c>
      <c r="F45" s="2" t="s">
        <v>48</v>
      </c>
      <c r="G45" s="2" t="s">
        <v>98</v>
      </c>
      <c r="T45" s="2" t="s">
        <v>201</v>
      </c>
      <c r="U45" s="2" t="s">
        <v>54</v>
      </c>
      <c r="V45" s="2" t="s">
        <v>54</v>
      </c>
      <c r="W45" s="2" t="s">
        <v>42</v>
      </c>
      <c r="X45" s="2" t="s">
        <v>42</v>
      </c>
      <c r="Y45" s="2" t="s">
        <v>42</v>
      </c>
      <c r="Z45" s="2" t="s">
        <v>54</v>
      </c>
    </row>
    <row r="46" spans="1:26" s="2" customFormat="1" ht="13.8" x14ac:dyDescent="0.3">
      <c r="A46" s="2" t="s">
        <v>202</v>
      </c>
      <c r="B46" s="2" t="s">
        <v>44</v>
      </c>
      <c r="C46" s="2" t="s">
        <v>45</v>
      </c>
      <c r="D46" s="2" t="s">
        <v>62</v>
      </c>
      <c r="E46" s="2" t="s">
        <v>63</v>
      </c>
      <c r="F46" s="2" t="s">
        <v>48</v>
      </c>
      <c r="G46" s="2" t="s">
        <v>32</v>
      </c>
      <c r="H46" s="2" t="s">
        <v>58</v>
      </c>
      <c r="I46" s="2" t="s">
        <v>34</v>
      </c>
      <c r="J46" s="2" t="s">
        <v>35</v>
      </c>
      <c r="K46" s="2" t="s">
        <v>36</v>
      </c>
      <c r="L46" s="2" t="s">
        <v>37</v>
      </c>
      <c r="M46" s="2" t="s">
        <v>39</v>
      </c>
      <c r="N46" s="2" t="s">
        <v>52</v>
      </c>
      <c r="O46" s="2" t="s">
        <v>37</v>
      </c>
      <c r="P46" s="2" t="s">
        <v>40</v>
      </c>
      <c r="Q46" s="2" t="s">
        <v>40</v>
      </c>
      <c r="R46" s="2" t="s">
        <v>40</v>
      </c>
      <c r="S46" s="2" t="s">
        <v>40</v>
      </c>
      <c r="V46" s="2" t="s">
        <v>40</v>
      </c>
      <c r="W46" s="2" t="s">
        <v>40</v>
      </c>
      <c r="X46" s="2" t="s">
        <v>40</v>
      </c>
      <c r="Y46" s="2" t="s">
        <v>40</v>
      </c>
      <c r="Z46" s="2" t="s">
        <v>77</v>
      </c>
    </row>
    <row r="47" spans="1:26" s="2" customFormat="1" ht="13.8" x14ac:dyDescent="0.3">
      <c r="A47" s="2" t="s">
        <v>203</v>
      </c>
      <c r="B47" s="2" t="s">
        <v>44</v>
      </c>
      <c r="C47" s="2" t="s">
        <v>204</v>
      </c>
      <c r="D47" s="2" t="s">
        <v>108</v>
      </c>
      <c r="E47" s="4" t="s">
        <v>67</v>
      </c>
      <c r="F47" s="2" t="s">
        <v>205</v>
      </c>
      <c r="G47" s="2" t="s">
        <v>32</v>
      </c>
      <c r="H47" s="2" t="s">
        <v>206</v>
      </c>
      <c r="I47" s="2" t="s">
        <v>69</v>
      </c>
      <c r="J47" s="2" t="s">
        <v>35</v>
      </c>
      <c r="K47" s="2" t="s">
        <v>154</v>
      </c>
      <c r="L47" s="2" t="s">
        <v>53</v>
      </c>
      <c r="M47" s="2" t="s">
        <v>124</v>
      </c>
      <c r="N47" s="2" t="s">
        <v>39</v>
      </c>
      <c r="O47" s="2" t="s">
        <v>37</v>
      </c>
      <c r="P47" s="2" t="s">
        <v>54</v>
      </c>
      <c r="Q47" s="2" t="s">
        <v>42</v>
      </c>
      <c r="R47" s="2" t="s">
        <v>54</v>
      </c>
      <c r="S47" s="2" t="s">
        <v>54</v>
      </c>
      <c r="V47" s="2" t="s">
        <v>54</v>
      </c>
      <c r="W47" s="2" t="s">
        <v>42</v>
      </c>
      <c r="X47" s="2" t="s">
        <v>42</v>
      </c>
      <c r="Y47" s="2" t="s">
        <v>42</v>
      </c>
      <c r="Z47" s="2" t="s">
        <v>77</v>
      </c>
    </row>
    <row r="48" spans="1:26" s="2" customFormat="1" ht="13.8" x14ac:dyDescent="0.3">
      <c r="A48" s="2" t="s">
        <v>207</v>
      </c>
      <c r="B48" s="2" t="s">
        <v>27</v>
      </c>
      <c r="C48" s="2" t="s">
        <v>153</v>
      </c>
      <c r="D48" s="2" t="s">
        <v>73</v>
      </c>
      <c r="E48" s="3" t="s">
        <v>47</v>
      </c>
      <c r="F48" s="2" t="s">
        <v>48</v>
      </c>
      <c r="G48" s="2" t="s">
        <v>32</v>
      </c>
      <c r="H48" s="2" t="s">
        <v>208</v>
      </c>
      <c r="I48" s="2" t="s">
        <v>69</v>
      </c>
      <c r="J48" s="2" t="s">
        <v>35</v>
      </c>
      <c r="K48" s="2" t="s">
        <v>209</v>
      </c>
      <c r="L48" s="2" t="s">
        <v>65</v>
      </c>
      <c r="M48" s="2" t="s">
        <v>52</v>
      </c>
      <c r="N48" s="2" t="s">
        <v>52</v>
      </c>
      <c r="O48" s="2" t="s">
        <v>37</v>
      </c>
      <c r="P48" s="2" t="s">
        <v>54</v>
      </c>
      <c r="Q48" s="2" t="s">
        <v>42</v>
      </c>
      <c r="R48" s="2" t="s">
        <v>54</v>
      </c>
      <c r="S48" s="2" t="s">
        <v>54</v>
      </c>
      <c r="V48" s="2" t="s">
        <v>54</v>
      </c>
      <c r="W48" s="2" t="s">
        <v>42</v>
      </c>
      <c r="X48" s="2" t="s">
        <v>40</v>
      </c>
      <c r="Y48" s="2" t="s">
        <v>40</v>
      </c>
      <c r="Z48" s="2" t="s">
        <v>40</v>
      </c>
    </row>
    <row r="49" spans="1:26" s="2" customFormat="1" ht="13.8" x14ac:dyDescent="0.3">
      <c r="A49" s="2" t="s">
        <v>210</v>
      </c>
      <c r="B49" s="2" t="s">
        <v>44</v>
      </c>
      <c r="C49" s="2" t="s">
        <v>153</v>
      </c>
      <c r="D49" s="2" t="s">
        <v>73</v>
      </c>
      <c r="E49" s="2" t="s">
        <v>30</v>
      </c>
      <c r="F49" s="2" t="s">
        <v>48</v>
      </c>
      <c r="G49" s="2" t="s">
        <v>98</v>
      </c>
      <c r="T49" s="2" t="s">
        <v>211</v>
      </c>
      <c r="U49" s="2" t="s">
        <v>54</v>
      </c>
      <c r="V49" s="2" t="s">
        <v>54</v>
      </c>
      <c r="W49" s="2" t="s">
        <v>42</v>
      </c>
      <c r="X49" s="2" t="s">
        <v>42</v>
      </c>
      <c r="Y49" s="2" t="s">
        <v>42</v>
      </c>
      <c r="Z49" s="2" t="s">
        <v>54</v>
      </c>
    </row>
    <row r="50" spans="1:26" s="2" customFormat="1" ht="13.8" x14ac:dyDescent="0.3">
      <c r="A50" s="2" t="s">
        <v>212</v>
      </c>
      <c r="B50" s="2" t="s">
        <v>27</v>
      </c>
      <c r="C50" s="2" t="s">
        <v>45</v>
      </c>
      <c r="D50" s="2" t="s">
        <v>73</v>
      </c>
      <c r="E50" s="3" t="s">
        <v>47</v>
      </c>
      <c r="F50" s="2" t="s">
        <v>48</v>
      </c>
      <c r="G50" s="2" t="s">
        <v>32</v>
      </c>
      <c r="H50" s="2" t="s">
        <v>213</v>
      </c>
      <c r="I50" s="2" t="s">
        <v>69</v>
      </c>
      <c r="J50" s="2" t="s">
        <v>35</v>
      </c>
      <c r="K50" s="2" t="s">
        <v>214</v>
      </c>
      <c r="L50" s="2" t="s">
        <v>53</v>
      </c>
      <c r="M50" s="2" t="s">
        <v>39</v>
      </c>
      <c r="N50" s="2" t="s">
        <v>52</v>
      </c>
      <c r="O50" s="2" t="s">
        <v>53</v>
      </c>
      <c r="P50" s="2" t="s">
        <v>54</v>
      </c>
      <c r="Q50" s="2" t="s">
        <v>42</v>
      </c>
      <c r="R50" s="2" t="s">
        <v>54</v>
      </c>
      <c r="S50" s="2" t="s">
        <v>54</v>
      </c>
      <c r="V50" s="2" t="s">
        <v>54</v>
      </c>
      <c r="W50" s="2" t="s">
        <v>42</v>
      </c>
      <c r="X50" s="2" t="s">
        <v>42</v>
      </c>
      <c r="Y50" s="2" t="s">
        <v>42</v>
      </c>
      <c r="Z50" s="2" t="s">
        <v>54</v>
      </c>
    </row>
    <row r="51" spans="1:26" s="2" customFormat="1" ht="13.8" x14ac:dyDescent="0.3">
      <c r="A51" s="2" t="s">
        <v>215</v>
      </c>
      <c r="B51" s="2" t="s">
        <v>27</v>
      </c>
      <c r="C51" s="2" t="s">
        <v>45</v>
      </c>
      <c r="D51" s="2" t="s">
        <v>73</v>
      </c>
      <c r="E51" s="3" t="s">
        <v>47</v>
      </c>
      <c r="F51" s="2" t="s">
        <v>48</v>
      </c>
      <c r="G51" s="2" t="s">
        <v>32</v>
      </c>
      <c r="H51" s="2" t="s">
        <v>83</v>
      </c>
      <c r="I51" s="2" t="s">
        <v>34</v>
      </c>
      <c r="J51" s="2" t="s">
        <v>35</v>
      </c>
      <c r="K51" s="2" t="s">
        <v>190</v>
      </c>
      <c r="L51" s="2" t="s">
        <v>84</v>
      </c>
      <c r="M51" s="2" t="s">
        <v>124</v>
      </c>
      <c r="N51" s="2" t="s">
        <v>39</v>
      </c>
      <c r="O51" s="2" t="s">
        <v>85</v>
      </c>
      <c r="P51" s="2" t="s">
        <v>40</v>
      </c>
      <c r="Q51" s="2" t="s">
        <v>40</v>
      </c>
      <c r="R51" s="2" t="s">
        <v>40</v>
      </c>
      <c r="S51" s="2" t="s">
        <v>40</v>
      </c>
      <c r="V51" s="2" t="s">
        <v>40</v>
      </c>
      <c r="W51" s="2" t="s">
        <v>40</v>
      </c>
      <c r="X51" s="2" t="s">
        <v>40</v>
      </c>
      <c r="Y51" s="2" t="s">
        <v>40</v>
      </c>
      <c r="Z51" s="2" t="s">
        <v>40</v>
      </c>
    </row>
  </sheetData>
  <autoFilter ref="A1:AT51" xr:uid="{0752953C-A4B2-4A0D-BA5A-048A61FAB0D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7340-F1FC-4E22-B063-6C50A01FCF2F}">
  <dimension ref="A1:AT52"/>
  <sheetViews>
    <sheetView workbookViewId="0">
      <selection activeCell="A18" sqref="A18"/>
    </sheetView>
  </sheetViews>
  <sheetFormatPr defaultColWidth="14.33203125" defaultRowHeight="14.4" x14ac:dyDescent="0.3"/>
  <cols>
    <col min="1" max="8" width="14.33203125" style="5"/>
    <col min="9" max="9" width="21" style="5" customWidth="1"/>
    <col min="10" max="10" width="14.33203125" style="5"/>
    <col min="11" max="11" width="31.77734375" style="5" customWidth="1"/>
    <col min="12" max="21" width="14.33203125" style="5"/>
    <col min="22" max="22" width="19.33203125" style="5" customWidth="1"/>
    <col min="23" max="26" width="10.44140625" style="5" customWidth="1"/>
    <col min="27" max="27" width="10.44140625" style="8" bestFit="1" customWidth="1"/>
    <col min="28" max="28" width="13.33203125" style="8" bestFit="1" customWidth="1"/>
    <col min="29" max="29" width="15.88671875" style="8" bestFit="1" customWidth="1"/>
    <col min="30" max="30" width="12.109375" style="5" bestFit="1" customWidth="1"/>
    <col min="31" max="31" width="14.44140625" style="5" bestFit="1" customWidth="1"/>
    <col min="32" max="33" width="14.21875" style="5" bestFit="1" customWidth="1"/>
    <col min="34" max="34" width="16.44140625" style="5" bestFit="1" customWidth="1"/>
    <col min="35" max="35" width="15.5546875" style="5" bestFit="1" customWidth="1"/>
    <col min="36" max="36" width="16" style="5" customWidth="1"/>
    <col min="37" max="37" width="14" style="5" customWidth="1"/>
    <col min="38" max="39" width="10.77734375" style="5" customWidth="1"/>
    <col min="40" max="40" width="59.109375" style="5" bestFit="1" customWidth="1"/>
    <col min="41" max="41" width="31" style="5" bestFit="1" customWidth="1"/>
    <col min="42" max="42" width="35" style="5" bestFit="1" customWidth="1"/>
    <col min="43" max="44" width="23.44140625" style="5" bestFit="1" customWidth="1"/>
    <col min="45" max="45" width="14.33203125" style="5"/>
    <col min="47" max="16384" width="14.33203125" style="5"/>
  </cols>
  <sheetData>
    <row r="1" spans="1:45" s="1" customFormat="1" ht="15.6" x14ac:dyDescent="0.3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12</v>
      </c>
      <c r="X1" s="1" t="s">
        <v>13</v>
      </c>
      <c r="Y1" s="1" t="s">
        <v>219</v>
      </c>
      <c r="Z1" s="1" t="s">
        <v>220</v>
      </c>
      <c r="AA1" s="6" t="s">
        <v>218</v>
      </c>
      <c r="AB1" s="6" t="s">
        <v>216</v>
      </c>
      <c r="AC1" s="6" t="s">
        <v>217</v>
      </c>
      <c r="AD1" s="6" t="s">
        <v>221</v>
      </c>
      <c r="AE1" s="6" t="s">
        <v>223</v>
      </c>
      <c r="AF1" s="6" t="s">
        <v>222</v>
      </c>
      <c r="AG1" s="6" t="s">
        <v>224</v>
      </c>
      <c r="AH1" s="1" t="s">
        <v>225</v>
      </c>
      <c r="AI1" s="1" t="s">
        <v>226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246</v>
      </c>
      <c r="AO1" s="1" t="s">
        <v>247</v>
      </c>
      <c r="AP1" s="1" t="s">
        <v>248</v>
      </c>
      <c r="AQ1" s="1" t="s">
        <v>250</v>
      </c>
      <c r="AR1" s="1" t="s">
        <v>251</v>
      </c>
    </row>
    <row r="2" spans="1:45" s="2" customFormat="1" x14ac:dyDescent="0.3">
      <c r="A2" s="2" t="s">
        <v>27</v>
      </c>
      <c r="B2" s="2" t="s">
        <v>227</v>
      </c>
      <c r="C2" s="2" t="s">
        <v>30</v>
      </c>
      <c r="D2" s="2" t="s">
        <v>31</v>
      </c>
      <c r="E2" s="2" t="s">
        <v>32</v>
      </c>
      <c r="F2" s="2" t="s">
        <v>34</v>
      </c>
      <c r="G2" s="2" t="s">
        <v>35</v>
      </c>
      <c r="H2" s="2" t="s">
        <v>37</v>
      </c>
      <c r="I2" s="2" t="s">
        <v>38</v>
      </c>
      <c r="J2" s="2" t="s">
        <v>39</v>
      </c>
      <c r="K2" s="2" t="s">
        <v>37</v>
      </c>
      <c r="L2" s="2" t="s">
        <v>40</v>
      </c>
      <c r="M2" s="2" t="s">
        <v>40</v>
      </c>
      <c r="N2" s="2" t="s">
        <v>40</v>
      </c>
      <c r="O2" s="2" t="s">
        <v>40</v>
      </c>
      <c r="R2" s="2" t="s">
        <v>40</v>
      </c>
      <c r="S2" s="2" t="s">
        <v>41</v>
      </c>
      <c r="T2" s="2" t="s">
        <v>42</v>
      </c>
      <c r="U2" s="2" t="s">
        <v>40</v>
      </c>
      <c r="V2" s="2" t="s">
        <v>40</v>
      </c>
      <c r="W2" s="5">
        <v>5</v>
      </c>
      <c r="X2" s="5">
        <v>3</v>
      </c>
      <c r="Y2" s="5">
        <v>2</v>
      </c>
      <c r="Z2" s="9">
        <v>0.4</v>
      </c>
      <c r="AA2" s="7">
        <v>450000</v>
      </c>
      <c r="AB2" s="7">
        <v>37500</v>
      </c>
      <c r="AC2" s="7">
        <v>256</v>
      </c>
      <c r="AD2" s="8">
        <v>512</v>
      </c>
      <c r="AE2" s="8">
        <v>2560</v>
      </c>
      <c r="AF2" s="8">
        <v>10240</v>
      </c>
      <c r="AG2" s="8">
        <v>122880</v>
      </c>
      <c r="AH2" s="8">
        <v>1650</v>
      </c>
      <c r="AI2" s="10">
        <v>19800</v>
      </c>
      <c r="AJ2" s="2" t="s">
        <v>189</v>
      </c>
      <c r="AK2" s="2" t="s">
        <v>235</v>
      </c>
      <c r="AL2" s="2" t="s">
        <v>228</v>
      </c>
      <c r="AN2" s="2" t="s">
        <v>240</v>
      </c>
      <c r="AO2" s="2" t="s">
        <v>241</v>
      </c>
    </row>
    <row r="3" spans="1:45" s="2" customFormat="1" x14ac:dyDescent="0.3">
      <c r="A3" s="2" t="s">
        <v>44</v>
      </c>
      <c r="B3" s="2" t="s">
        <v>46</v>
      </c>
      <c r="C3" s="3" t="s">
        <v>47</v>
      </c>
      <c r="D3" s="2" t="s">
        <v>48</v>
      </c>
      <c r="E3" s="2" t="s">
        <v>32</v>
      </c>
      <c r="F3" s="2" t="s">
        <v>50</v>
      </c>
      <c r="G3" s="2" t="s">
        <v>35</v>
      </c>
      <c r="H3" s="2" t="s">
        <v>37</v>
      </c>
      <c r="I3" s="2" t="s">
        <v>39</v>
      </c>
      <c r="J3" s="2" t="s">
        <v>52</v>
      </c>
      <c r="K3" s="2" t="s">
        <v>53</v>
      </c>
      <c r="L3" s="2" t="s">
        <v>54</v>
      </c>
      <c r="M3" s="2" t="s">
        <v>40</v>
      </c>
      <c r="N3" s="2" t="s">
        <v>40</v>
      </c>
      <c r="O3" s="2" t="s">
        <v>40</v>
      </c>
      <c r="R3" s="2" t="s">
        <v>40</v>
      </c>
      <c r="S3" s="2" t="s">
        <v>40</v>
      </c>
      <c r="T3" s="2" t="s">
        <v>40</v>
      </c>
      <c r="U3" s="2" t="s">
        <v>40</v>
      </c>
      <c r="V3" s="2" t="s">
        <v>40</v>
      </c>
      <c r="W3" s="5">
        <v>3</v>
      </c>
      <c r="X3" s="5">
        <v>1</v>
      </c>
      <c r="Y3" s="5">
        <v>2</v>
      </c>
      <c r="Z3" s="9">
        <v>0.66666666666666663</v>
      </c>
      <c r="AA3" s="7">
        <v>1000000</v>
      </c>
      <c r="AB3" s="7">
        <v>83333</v>
      </c>
      <c r="AC3" s="7">
        <v>568</v>
      </c>
      <c r="AD3" s="8">
        <v>1136</v>
      </c>
      <c r="AE3" s="8">
        <v>5680</v>
      </c>
      <c r="AF3" s="8">
        <v>22720</v>
      </c>
      <c r="AG3" s="8">
        <v>272640</v>
      </c>
      <c r="AH3" s="8">
        <v>1650</v>
      </c>
      <c r="AI3" s="10">
        <v>19800</v>
      </c>
      <c r="AJ3" s="2" t="s">
        <v>189</v>
      </c>
      <c r="AK3" s="2" t="s">
        <v>235</v>
      </c>
      <c r="AN3" s="2" t="s">
        <v>81</v>
      </c>
      <c r="AO3" s="2" t="s">
        <v>241</v>
      </c>
    </row>
    <row r="4" spans="1:45" s="2" customFormat="1" x14ac:dyDescent="0.3">
      <c r="A4" s="2" t="s">
        <v>27</v>
      </c>
      <c r="B4" s="2" t="s">
        <v>57</v>
      </c>
      <c r="C4" s="3" t="s">
        <v>47</v>
      </c>
      <c r="D4" s="2" t="s">
        <v>48</v>
      </c>
      <c r="E4" s="2" t="s">
        <v>32</v>
      </c>
      <c r="F4" s="2" t="s">
        <v>50</v>
      </c>
      <c r="G4" s="2" t="s">
        <v>35</v>
      </c>
      <c r="H4" s="2" t="s">
        <v>37</v>
      </c>
      <c r="I4" s="2" t="s">
        <v>38</v>
      </c>
      <c r="J4" s="2" t="s">
        <v>52</v>
      </c>
      <c r="K4" s="2" t="s">
        <v>37</v>
      </c>
      <c r="L4" s="2" t="s">
        <v>40</v>
      </c>
      <c r="M4" s="2" t="s">
        <v>42</v>
      </c>
      <c r="N4" s="2" t="s">
        <v>54</v>
      </c>
      <c r="O4" s="2" t="s">
        <v>54</v>
      </c>
      <c r="R4" s="2" t="s">
        <v>40</v>
      </c>
      <c r="S4" s="2" t="s">
        <v>40</v>
      </c>
      <c r="T4" s="2" t="s">
        <v>41</v>
      </c>
      <c r="U4" s="2" t="s">
        <v>41</v>
      </c>
      <c r="V4" s="2" t="s">
        <v>40</v>
      </c>
      <c r="W4" s="5">
        <v>5</v>
      </c>
      <c r="X4" s="5">
        <v>1</v>
      </c>
      <c r="Y4" s="5">
        <v>4</v>
      </c>
      <c r="Z4" s="9">
        <v>0.8</v>
      </c>
      <c r="AA4" s="7">
        <v>1250000</v>
      </c>
      <c r="AB4" s="7">
        <v>104167</v>
      </c>
      <c r="AC4" s="7">
        <v>710</v>
      </c>
      <c r="AD4" s="8">
        <v>2840</v>
      </c>
      <c r="AE4" s="8">
        <v>14200</v>
      </c>
      <c r="AF4" s="8">
        <v>56800</v>
      </c>
      <c r="AG4" s="8">
        <v>681600</v>
      </c>
      <c r="AH4" s="8">
        <v>1650</v>
      </c>
      <c r="AI4" s="10">
        <v>19800</v>
      </c>
      <c r="AJ4" s="2" t="s">
        <v>189</v>
      </c>
      <c r="AK4" s="2" t="s">
        <v>229</v>
      </c>
      <c r="AL4" s="2" t="s">
        <v>235</v>
      </c>
      <c r="AN4" s="2" t="s">
        <v>190</v>
      </c>
      <c r="AO4" s="2" t="s">
        <v>242</v>
      </c>
      <c r="AP4" s="2" t="s">
        <v>243</v>
      </c>
      <c r="AQ4" s="2" t="s">
        <v>241</v>
      </c>
    </row>
    <row r="5" spans="1:45" s="2" customFormat="1" x14ac:dyDescent="0.3">
      <c r="A5" s="2" t="s">
        <v>44</v>
      </c>
      <c r="B5" s="2" t="s">
        <v>62</v>
      </c>
      <c r="C5" s="2" t="s">
        <v>63</v>
      </c>
      <c r="D5" s="2" t="s">
        <v>64</v>
      </c>
      <c r="E5" s="2" t="s">
        <v>32</v>
      </c>
      <c r="F5" s="2" t="s">
        <v>34</v>
      </c>
      <c r="G5" s="2" t="s">
        <v>35</v>
      </c>
      <c r="H5" s="2" t="s">
        <v>65</v>
      </c>
      <c r="I5" s="2" t="s">
        <v>39</v>
      </c>
      <c r="J5" s="2" t="s">
        <v>52</v>
      </c>
      <c r="K5" s="2" t="s">
        <v>53</v>
      </c>
      <c r="L5" s="2" t="s">
        <v>54</v>
      </c>
      <c r="M5" s="2" t="s">
        <v>42</v>
      </c>
      <c r="N5" s="2" t="s">
        <v>40</v>
      </c>
      <c r="O5" s="2" t="s">
        <v>40</v>
      </c>
      <c r="R5" s="2" t="s">
        <v>40</v>
      </c>
      <c r="S5" s="2" t="s">
        <v>40</v>
      </c>
      <c r="T5" s="2" t="s">
        <v>40</v>
      </c>
      <c r="U5" s="2" t="s">
        <v>40</v>
      </c>
      <c r="V5" s="2" t="s">
        <v>54</v>
      </c>
      <c r="W5" s="5">
        <v>3</v>
      </c>
      <c r="X5" s="5">
        <v>1</v>
      </c>
      <c r="Y5" s="5">
        <v>2</v>
      </c>
      <c r="Z5" s="9">
        <v>0.66666666666666663</v>
      </c>
      <c r="AA5" s="7">
        <v>4000000</v>
      </c>
      <c r="AB5" s="7">
        <v>333333</v>
      </c>
      <c r="AC5" s="7">
        <v>2273</v>
      </c>
      <c r="AD5" s="8">
        <v>4546</v>
      </c>
      <c r="AE5" s="8">
        <v>22730</v>
      </c>
      <c r="AF5" s="8">
        <v>90920</v>
      </c>
      <c r="AG5" s="8">
        <v>1091040</v>
      </c>
      <c r="AH5" s="8">
        <v>1650</v>
      </c>
      <c r="AI5" s="10">
        <v>19800</v>
      </c>
      <c r="AJ5" s="2" t="s">
        <v>189</v>
      </c>
      <c r="AK5" s="2" t="s">
        <v>235</v>
      </c>
      <c r="AN5" s="2" t="s">
        <v>81</v>
      </c>
      <c r="AO5" s="2" t="s">
        <v>241</v>
      </c>
    </row>
    <row r="6" spans="1:45" s="2" customFormat="1" x14ac:dyDescent="0.3">
      <c r="A6" s="2" t="s">
        <v>27</v>
      </c>
      <c r="B6" s="2" t="s">
        <v>46</v>
      </c>
      <c r="C6" s="4" t="s">
        <v>67</v>
      </c>
      <c r="D6" s="2" t="s">
        <v>48</v>
      </c>
      <c r="E6" s="2" t="s">
        <v>32</v>
      </c>
      <c r="F6" s="2" t="s">
        <v>69</v>
      </c>
      <c r="G6" s="2" t="s">
        <v>70</v>
      </c>
      <c r="H6" s="2" t="s">
        <v>53</v>
      </c>
      <c r="I6" s="2" t="s">
        <v>38</v>
      </c>
      <c r="J6" s="2" t="s">
        <v>39</v>
      </c>
      <c r="K6" s="2" t="s">
        <v>53</v>
      </c>
      <c r="L6" s="2" t="s">
        <v>41</v>
      </c>
      <c r="M6" s="2" t="s">
        <v>40</v>
      </c>
      <c r="N6" s="2" t="s">
        <v>40</v>
      </c>
      <c r="O6" s="2" t="s">
        <v>41</v>
      </c>
      <c r="R6" s="2" t="s">
        <v>40</v>
      </c>
      <c r="S6" s="2" t="s">
        <v>40</v>
      </c>
      <c r="T6" s="2" t="s">
        <v>40</v>
      </c>
      <c r="U6" s="2" t="s">
        <v>40</v>
      </c>
      <c r="V6" s="2" t="s">
        <v>40</v>
      </c>
      <c r="W6" s="5">
        <v>5</v>
      </c>
      <c r="X6" s="5">
        <v>3</v>
      </c>
      <c r="Y6" s="5">
        <v>2</v>
      </c>
      <c r="Z6" s="9">
        <v>0.4</v>
      </c>
      <c r="AA6" s="7">
        <v>1750000</v>
      </c>
      <c r="AB6" s="7">
        <v>145833</v>
      </c>
      <c r="AC6" s="7">
        <v>994</v>
      </c>
      <c r="AD6" s="8">
        <v>1988</v>
      </c>
      <c r="AE6" s="8">
        <v>9940</v>
      </c>
      <c r="AF6" s="8">
        <v>39760</v>
      </c>
      <c r="AG6" s="8">
        <v>477120</v>
      </c>
      <c r="AH6" s="8">
        <v>1650</v>
      </c>
      <c r="AI6" s="10">
        <v>19800</v>
      </c>
      <c r="AJ6" s="2" t="s">
        <v>232</v>
      </c>
      <c r="AN6" s="2" t="s">
        <v>81</v>
      </c>
      <c r="AO6" s="2" t="s">
        <v>243</v>
      </c>
      <c r="AP6" s="2" t="s">
        <v>241</v>
      </c>
    </row>
    <row r="7" spans="1:45" s="2" customFormat="1" x14ac:dyDescent="0.3">
      <c r="A7" s="2" t="s">
        <v>44</v>
      </c>
      <c r="B7" s="2" t="s">
        <v>73</v>
      </c>
      <c r="C7" s="2" t="s">
        <v>30</v>
      </c>
      <c r="D7" s="2" t="s">
        <v>48</v>
      </c>
      <c r="E7" s="2" t="s">
        <v>32</v>
      </c>
      <c r="F7" s="2" t="s">
        <v>50</v>
      </c>
      <c r="G7" s="2" t="s">
        <v>35</v>
      </c>
      <c r="H7" s="2" t="s">
        <v>53</v>
      </c>
      <c r="I7" s="2" t="s">
        <v>39</v>
      </c>
      <c r="J7" s="2" t="s">
        <v>52</v>
      </c>
      <c r="K7" s="2" t="s">
        <v>53</v>
      </c>
      <c r="L7" s="2" t="s">
        <v>41</v>
      </c>
      <c r="M7" s="2" t="s">
        <v>40</v>
      </c>
      <c r="N7" s="2" t="s">
        <v>40</v>
      </c>
      <c r="O7" s="2" t="s">
        <v>76</v>
      </c>
      <c r="R7" s="2" t="s">
        <v>41</v>
      </c>
      <c r="S7" s="2" t="s">
        <v>40</v>
      </c>
      <c r="T7" s="2" t="s">
        <v>40</v>
      </c>
      <c r="U7" s="2" t="s">
        <v>40</v>
      </c>
      <c r="V7" s="2" t="s">
        <v>77</v>
      </c>
      <c r="W7" s="5">
        <v>3</v>
      </c>
      <c r="X7" s="5">
        <v>1</v>
      </c>
      <c r="Y7" s="5">
        <v>2</v>
      </c>
      <c r="Z7" s="9">
        <v>0.66666666666666663</v>
      </c>
      <c r="AA7" s="7">
        <v>500000</v>
      </c>
      <c r="AB7" s="7">
        <v>41667</v>
      </c>
      <c r="AC7" s="7">
        <v>284</v>
      </c>
      <c r="AD7" s="8">
        <v>568</v>
      </c>
      <c r="AE7" s="8">
        <v>2840</v>
      </c>
      <c r="AF7" s="8">
        <v>11360</v>
      </c>
      <c r="AG7" s="8">
        <v>136320</v>
      </c>
      <c r="AH7" s="8">
        <v>1650</v>
      </c>
      <c r="AI7" s="10">
        <v>19800</v>
      </c>
      <c r="AJ7" s="2" t="s">
        <v>189</v>
      </c>
      <c r="AK7" s="2" t="s">
        <v>229</v>
      </c>
      <c r="AL7" s="2" t="s">
        <v>235</v>
      </c>
      <c r="AM7" s="2" t="s">
        <v>228</v>
      </c>
      <c r="AN7" s="2" t="s">
        <v>190</v>
      </c>
      <c r="AO7" s="2" t="s">
        <v>242</v>
      </c>
      <c r="AP7" s="2" t="s">
        <v>244</v>
      </c>
      <c r="AQ7" s="2" t="s">
        <v>243</v>
      </c>
    </row>
    <row r="8" spans="1:45" s="2" customFormat="1" x14ac:dyDescent="0.3">
      <c r="A8" s="2" t="s">
        <v>44</v>
      </c>
      <c r="B8" s="2" t="s">
        <v>57</v>
      </c>
      <c r="C8" s="4" t="s">
        <v>67</v>
      </c>
      <c r="D8" s="2" t="s">
        <v>48</v>
      </c>
      <c r="E8" s="2" t="s">
        <v>32</v>
      </c>
      <c r="F8" s="2" t="s">
        <v>34</v>
      </c>
      <c r="G8" s="2" t="s">
        <v>80</v>
      </c>
      <c r="H8" s="2" t="s">
        <v>53</v>
      </c>
      <c r="I8" s="2" t="s">
        <v>52</v>
      </c>
      <c r="J8" s="2" t="s">
        <v>52</v>
      </c>
      <c r="K8" s="2" t="s">
        <v>53</v>
      </c>
      <c r="L8" s="2" t="s">
        <v>54</v>
      </c>
      <c r="M8" s="2" t="s">
        <v>42</v>
      </c>
      <c r="N8" s="2" t="s">
        <v>40</v>
      </c>
      <c r="O8" s="2" t="s">
        <v>40</v>
      </c>
      <c r="R8" s="2" t="s">
        <v>40</v>
      </c>
      <c r="S8" s="2" t="s">
        <v>42</v>
      </c>
      <c r="T8" s="2" t="s">
        <v>40</v>
      </c>
      <c r="U8" s="2" t="s">
        <v>40</v>
      </c>
      <c r="V8" s="2" t="s">
        <v>40</v>
      </c>
      <c r="W8" s="5">
        <v>1</v>
      </c>
      <c r="X8" s="5">
        <v>1</v>
      </c>
      <c r="Y8" s="5">
        <v>0</v>
      </c>
      <c r="Z8" s="9">
        <v>0</v>
      </c>
      <c r="AA8" s="7">
        <v>2150000</v>
      </c>
      <c r="AB8" s="7">
        <v>179167</v>
      </c>
      <c r="AC8" s="7">
        <v>1222</v>
      </c>
      <c r="AD8" s="8">
        <v>0</v>
      </c>
      <c r="AE8" s="8">
        <v>0</v>
      </c>
      <c r="AF8" s="8">
        <v>0</v>
      </c>
      <c r="AG8" s="8">
        <v>0</v>
      </c>
      <c r="AH8" s="8">
        <v>1650</v>
      </c>
      <c r="AI8" s="10">
        <v>19800</v>
      </c>
      <c r="AJ8" s="2" t="s">
        <v>232</v>
      </c>
      <c r="AN8" s="2" t="s">
        <v>81</v>
      </c>
    </row>
    <row r="9" spans="1:45" s="2" customFormat="1" x14ac:dyDescent="0.3">
      <c r="A9" s="2" t="s">
        <v>44</v>
      </c>
      <c r="B9" s="2" t="s">
        <v>73</v>
      </c>
      <c r="C9" s="3" t="s">
        <v>47</v>
      </c>
      <c r="D9" s="2" t="s">
        <v>48</v>
      </c>
      <c r="E9" s="2" t="s">
        <v>32</v>
      </c>
      <c r="F9" s="2" t="s">
        <v>34</v>
      </c>
      <c r="G9" s="2" t="s">
        <v>35</v>
      </c>
      <c r="H9" s="2" t="s">
        <v>84</v>
      </c>
      <c r="I9" s="2" t="s">
        <v>38</v>
      </c>
      <c r="J9" s="2" t="s">
        <v>52</v>
      </c>
      <c r="K9" s="2" t="s">
        <v>85</v>
      </c>
      <c r="L9" s="2" t="s">
        <v>40</v>
      </c>
      <c r="M9" s="2" t="s">
        <v>40</v>
      </c>
      <c r="N9" s="2" t="s">
        <v>40</v>
      </c>
      <c r="O9" s="2" t="s">
        <v>40</v>
      </c>
      <c r="R9" s="2" t="s">
        <v>40</v>
      </c>
      <c r="S9" s="2" t="s">
        <v>41</v>
      </c>
      <c r="T9" s="2" t="s">
        <v>41</v>
      </c>
      <c r="U9" s="2" t="s">
        <v>40</v>
      </c>
      <c r="V9" s="2" t="s">
        <v>40</v>
      </c>
      <c r="W9" s="5">
        <v>5</v>
      </c>
      <c r="X9" s="5">
        <v>1</v>
      </c>
      <c r="Y9" s="5">
        <v>4</v>
      </c>
      <c r="Z9" s="9">
        <v>0.8</v>
      </c>
      <c r="AA9" s="7">
        <v>1150000</v>
      </c>
      <c r="AB9" s="7">
        <v>95833</v>
      </c>
      <c r="AC9" s="7">
        <v>653</v>
      </c>
      <c r="AD9" s="8">
        <v>2612</v>
      </c>
      <c r="AE9" s="8">
        <v>13060</v>
      </c>
      <c r="AF9" s="8">
        <v>52240</v>
      </c>
      <c r="AG9" s="8">
        <v>626880</v>
      </c>
      <c r="AH9" s="8">
        <v>1650</v>
      </c>
      <c r="AI9" s="10">
        <v>19800</v>
      </c>
      <c r="AJ9" s="2" t="s">
        <v>83</v>
      </c>
      <c r="AN9" s="2" t="s">
        <v>190</v>
      </c>
      <c r="AO9" s="2" t="s">
        <v>242</v>
      </c>
      <c r="AP9" s="2" t="s">
        <v>243</v>
      </c>
      <c r="AQ9" s="2" t="s">
        <v>241</v>
      </c>
    </row>
    <row r="10" spans="1:45" s="2" customFormat="1" x14ac:dyDescent="0.3">
      <c r="A10" s="2" t="s">
        <v>44</v>
      </c>
      <c r="B10" s="2" t="s">
        <v>227</v>
      </c>
      <c r="C10" s="4" t="s">
        <v>67</v>
      </c>
      <c r="D10" s="2" t="s">
        <v>48</v>
      </c>
      <c r="E10" s="2" t="s">
        <v>32</v>
      </c>
      <c r="F10" s="5" t="s">
        <v>90</v>
      </c>
      <c r="G10" s="2" t="s">
        <v>35</v>
      </c>
      <c r="H10" s="2" t="s">
        <v>53</v>
      </c>
      <c r="I10" s="2" t="s">
        <v>39</v>
      </c>
      <c r="J10" s="2" t="s">
        <v>52</v>
      </c>
      <c r="K10" s="2" t="s">
        <v>53</v>
      </c>
      <c r="L10" s="2" t="s">
        <v>40</v>
      </c>
      <c r="M10" s="2" t="s">
        <v>40</v>
      </c>
      <c r="N10" s="2" t="s">
        <v>40</v>
      </c>
      <c r="O10" s="2" t="s">
        <v>40</v>
      </c>
      <c r="R10" s="2" t="s">
        <v>40</v>
      </c>
      <c r="S10" s="2" t="s">
        <v>40</v>
      </c>
      <c r="T10" s="2" t="s">
        <v>40</v>
      </c>
      <c r="U10" s="2" t="s">
        <v>40</v>
      </c>
      <c r="V10" s="2" t="s">
        <v>40</v>
      </c>
      <c r="W10" s="5">
        <v>3</v>
      </c>
      <c r="X10" s="5">
        <v>1</v>
      </c>
      <c r="Y10" s="5">
        <v>2</v>
      </c>
      <c r="Z10" s="9">
        <v>0.66666666666666663</v>
      </c>
      <c r="AA10" s="7">
        <v>1850000</v>
      </c>
      <c r="AB10" s="7">
        <v>154167</v>
      </c>
      <c r="AC10" s="7">
        <v>876</v>
      </c>
      <c r="AD10" s="8">
        <v>1752</v>
      </c>
      <c r="AE10" s="8">
        <v>8760</v>
      </c>
      <c r="AF10" s="8">
        <v>35040</v>
      </c>
      <c r="AG10" s="8">
        <v>420480</v>
      </c>
      <c r="AH10" s="8">
        <v>1650</v>
      </c>
      <c r="AI10" s="10">
        <v>19800</v>
      </c>
      <c r="AJ10" s="2" t="s">
        <v>189</v>
      </c>
      <c r="AK10" s="2" t="s">
        <v>228</v>
      </c>
      <c r="AL10" s="2" t="s">
        <v>230</v>
      </c>
      <c r="AN10" s="2" t="s">
        <v>81</v>
      </c>
      <c r="AO10" s="2" t="s">
        <v>241</v>
      </c>
      <c r="AP10" s="2" t="s">
        <v>227</v>
      </c>
    </row>
    <row r="11" spans="1:45" s="2" customFormat="1" x14ac:dyDescent="0.3">
      <c r="A11" s="2" t="s">
        <v>44</v>
      </c>
      <c r="B11" s="2" t="s">
        <v>73</v>
      </c>
      <c r="C11" s="4" t="s">
        <v>67</v>
      </c>
      <c r="D11" s="2" t="s">
        <v>48</v>
      </c>
      <c r="E11" s="2" t="s">
        <v>32</v>
      </c>
      <c r="F11" s="5" t="s">
        <v>90</v>
      </c>
      <c r="G11" s="2" t="s">
        <v>35</v>
      </c>
      <c r="H11" s="2" t="s">
        <v>53</v>
      </c>
      <c r="I11" s="2" t="s">
        <v>38</v>
      </c>
      <c r="J11" s="2" t="s">
        <v>39</v>
      </c>
      <c r="K11" s="2" t="s">
        <v>85</v>
      </c>
      <c r="L11" s="2" t="s">
        <v>54</v>
      </c>
      <c r="M11" s="2" t="s">
        <v>42</v>
      </c>
      <c r="N11" s="2" t="s">
        <v>54</v>
      </c>
      <c r="O11" s="2" t="s">
        <v>54</v>
      </c>
      <c r="R11" s="2" t="s">
        <v>54</v>
      </c>
      <c r="S11" s="2" t="s">
        <v>42</v>
      </c>
      <c r="T11" s="2" t="s">
        <v>42</v>
      </c>
      <c r="U11" s="2" t="s">
        <v>42</v>
      </c>
      <c r="V11" s="2" t="s">
        <v>54</v>
      </c>
      <c r="W11" s="5">
        <v>5</v>
      </c>
      <c r="X11" s="5">
        <v>3</v>
      </c>
      <c r="Y11" s="5">
        <v>2</v>
      </c>
      <c r="Z11" s="9">
        <v>0.4</v>
      </c>
      <c r="AA11" s="7">
        <v>2300000</v>
      </c>
      <c r="AB11" s="7">
        <v>191667</v>
      </c>
      <c r="AC11" s="7">
        <v>1309</v>
      </c>
      <c r="AD11" s="8">
        <v>2618</v>
      </c>
      <c r="AE11" s="8">
        <v>13090</v>
      </c>
      <c r="AF11" s="8">
        <v>52360</v>
      </c>
      <c r="AG11" s="8">
        <v>628320</v>
      </c>
      <c r="AH11" s="8">
        <v>1650</v>
      </c>
      <c r="AI11" s="10">
        <v>19800</v>
      </c>
      <c r="AJ11" s="2" t="s">
        <v>189</v>
      </c>
      <c r="AK11" s="2" t="s">
        <v>229</v>
      </c>
      <c r="AL11" s="2" t="s">
        <v>235</v>
      </c>
      <c r="AM11" s="2" t="s">
        <v>228</v>
      </c>
      <c r="AN11" s="2" t="s">
        <v>190</v>
      </c>
      <c r="AO11" s="2" t="s">
        <v>242</v>
      </c>
      <c r="AP11" s="2" t="s">
        <v>244</v>
      </c>
      <c r="AQ11" s="2" t="s">
        <v>241</v>
      </c>
    </row>
    <row r="12" spans="1:45" s="2" customFormat="1" x14ac:dyDescent="0.3">
      <c r="A12" s="2" t="s">
        <v>27</v>
      </c>
      <c r="B12" s="2" t="s">
        <v>227</v>
      </c>
      <c r="C12" s="2" t="s">
        <v>30</v>
      </c>
      <c r="D12" s="2" t="s">
        <v>48</v>
      </c>
      <c r="E12" s="2" t="s">
        <v>98</v>
      </c>
      <c r="F12" s="2" t="s">
        <v>252</v>
      </c>
      <c r="G12" s="2" t="s">
        <v>252</v>
      </c>
      <c r="H12" s="2" t="s">
        <v>252</v>
      </c>
      <c r="I12" s="2" t="s">
        <v>252</v>
      </c>
      <c r="J12" s="2" t="s">
        <v>252</v>
      </c>
      <c r="K12" s="2" t="s">
        <v>252</v>
      </c>
      <c r="L12" s="2" t="s">
        <v>252</v>
      </c>
      <c r="M12" s="2" t="s">
        <v>252</v>
      </c>
      <c r="N12" s="2" t="s">
        <v>252</v>
      </c>
      <c r="O12" s="2" t="s">
        <v>252</v>
      </c>
      <c r="P12" s="2" t="s">
        <v>99</v>
      </c>
      <c r="Q12" s="2" t="s">
        <v>54</v>
      </c>
      <c r="R12" s="2" t="s">
        <v>40</v>
      </c>
      <c r="S12" s="2" t="s">
        <v>40</v>
      </c>
      <c r="T12" s="2" t="s">
        <v>40</v>
      </c>
      <c r="U12" s="2" t="s">
        <v>40</v>
      </c>
      <c r="V12" s="2" t="s">
        <v>40</v>
      </c>
      <c r="W12" s="5">
        <v>0</v>
      </c>
      <c r="X12" s="5">
        <v>0</v>
      </c>
      <c r="Y12" s="5">
        <v>0</v>
      </c>
      <c r="Z12" s="9">
        <v>0</v>
      </c>
      <c r="AA12" s="7">
        <v>450000</v>
      </c>
      <c r="AB12" s="7">
        <v>37500</v>
      </c>
      <c r="AC12" s="7">
        <v>256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2" t="s">
        <v>252</v>
      </c>
      <c r="AK12" s="2" t="s">
        <v>252</v>
      </c>
      <c r="AL12" s="2" t="s">
        <v>252</v>
      </c>
      <c r="AM12" s="2" t="s">
        <v>252</v>
      </c>
      <c r="AN12" s="2" t="s">
        <v>252</v>
      </c>
      <c r="AO12" s="2" t="s">
        <v>252</v>
      </c>
      <c r="AP12" s="2" t="s">
        <v>252</v>
      </c>
      <c r="AQ12" s="2" t="s">
        <v>252</v>
      </c>
      <c r="AR12" s="2" t="s">
        <v>252</v>
      </c>
      <c r="AS12" s="2" t="s">
        <v>252</v>
      </c>
    </row>
    <row r="13" spans="1:45" s="2" customFormat="1" x14ac:dyDescent="0.3">
      <c r="A13" s="2" t="s">
        <v>44</v>
      </c>
      <c r="B13" s="2" t="s">
        <v>73</v>
      </c>
      <c r="C13" s="3" t="s">
        <v>47</v>
      </c>
      <c r="D13" s="2" t="s">
        <v>48</v>
      </c>
      <c r="E13" s="2" t="s">
        <v>32</v>
      </c>
      <c r="F13" s="2" t="s">
        <v>34</v>
      </c>
      <c r="G13" s="2" t="s">
        <v>35</v>
      </c>
      <c r="H13" s="2" t="s">
        <v>53</v>
      </c>
      <c r="I13" s="2" t="s">
        <v>39</v>
      </c>
      <c r="J13" s="2" t="s">
        <v>52</v>
      </c>
      <c r="K13" s="2" t="s">
        <v>53</v>
      </c>
      <c r="L13" s="2" t="s">
        <v>54</v>
      </c>
      <c r="M13" s="2" t="s">
        <v>42</v>
      </c>
      <c r="N13" s="2" t="s">
        <v>41</v>
      </c>
      <c r="O13" s="2" t="s">
        <v>41</v>
      </c>
      <c r="R13" s="2" t="s">
        <v>40</v>
      </c>
      <c r="S13" s="2" t="s">
        <v>40</v>
      </c>
      <c r="T13" s="2" t="s">
        <v>40</v>
      </c>
      <c r="U13" s="2" t="s">
        <v>40</v>
      </c>
      <c r="V13" s="2" t="s">
        <v>40</v>
      </c>
      <c r="W13" s="5">
        <v>3</v>
      </c>
      <c r="X13" s="5">
        <v>1</v>
      </c>
      <c r="Y13" s="5">
        <v>2</v>
      </c>
      <c r="Z13" s="9">
        <v>0.66666666666666663</v>
      </c>
      <c r="AA13" s="7">
        <v>1150000</v>
      </c>
      <c r="AB13" s="7">
        <v>95833</v>
      </c>
      <c r="AC13" s="7">
        <v>653</v>
      </c>
      <c r="AD13" s="8">
        <v>1306</v>
      </c>
      <c r="AE13" s="8">
        <v>6530</v>
      </c>
      <c r="AF13" s="8">
        <v>26120</v>
      </c>
      <c r="AG13" s="8">
        <v>313440</v>
      </c>
      <c r="AH13" s="8">
        <v>1650</v>
      </c>
      <c r="AI13" s="10">
        <v>19800</v>
      </c>
      <c r="AJ13" s="2" t="s">
        <v>102</v>
      </c>
      <c r="AN13" s="2" t="s">
        <v>190</v>
      </c>
      <c r="AO13" s="2" t="s">
        <v>242</v>
      </c>
      <c r="AP13" s="2" t="s">
        <v>244</v>
      </c>
    </row>
    <row r="14" spans="1:45" s="2" customFormat="1" x14ac:dyDescent="0.3">
      <c r="A14" s="2" t="s">
        <v>44</v>
      </c>
      <c r="B14" s="2" t="s">
        <v>57</v>
      </c>
      <c r="C14" s="3" t="s">
        <v>47</v>
      </c>
      <c r="D14" s="2" t="s">
        <v>31</v>
      </c>
      <c r="E14" s="2" t="s">
        <v>32</v>
      </c>
      <c r="F14" s="5" t="s">
        <v>90</v>
      </c>
      <c r="G14" s="2" t="s">
        <v>35</v>
      </c>
      <c r="H14" s="2" t="s">
        <v>53</v>
      </c>
      <c r="I14" s="2" t="s">
        <v>38</v>
      </c>
      <c r="J14" s="2" t="s">
        <v>52</v>
      </c>
      <c r="K14" s="2" t="s">
        <v>53</v>
      </c>
      <c r="L14" s="2" t="s">
        <v>54</v>
      </c>
      <c r="M14" s="2" t="s">
        <v>42</v>
      </c>
      <c r="N14" s="2" t="s">
        <v>54</v>
      </c>
      <c r="O14" s="2" t="s">
        <v>40</v>
      </c>
      <c r="R14" s="2" t="s">
        <v>54</v>
      </c>
      <c r="S14" s="2" t="s">
        <v>40</v>
      </c>
      <c r="T14" s="2" t="s">
        <v>42</v>
      </c>
      <c r="U14" s="2" t="s">
        <v>40</v>
      </c>
      <c r="V14" s="2" t="s">
        <v>40</v>
      </c>
      <c r="W14" s="5">
        <v>5</v>
      </c>
      <c r="X14" s="5">
        <v>1</v>
      </c>
      <c r="Y14" s="5">
        <v>4</v>
      </c>
      <c r="Z14" s="9">
        <v>0.8</v>
      </c>
      <c r="AA14" s="7">
        <v>1250000</v>
      </c>
      <c r="AB14" s="7">
        <v>104167</v>
      </c>
      <c r="AC14" s="7">
        <v>710</v>
      </c>
      <c r="AD14" s="8">
        <v>2840</v>
      </c>
      <c r="AE14" s="8">
        <v>14200</v>
      </c>
      <c r="AF14" s="8">
        <v>56800</v>
      </c>
      <c r="AG14" s="8">
        <v>681600</v>
      </c>
      <c r="AH14" s="8">
        <v>1650</v>
      </c>
      <c r="AI14" s="10">
        <v>19800</v>
      </c>
      <c r="AJ14" s="2" t="s">
        <v>189</v>
      </c>
      <c r="AK14" s="2" t="s">
        <v>235</v>
      </c>
      <c r="AN14" s="2" t="s">
        <v>190</v>
      </c>
      <c r="AO14" s="2" t="s">
        <v>242</v>
      </c>
      <c r="AP14" s="2" t="s">
        <v>243</v>
      </c>
      <c r="AQ14" s="2" t="s">
        <v>241</v>
      </c>
    </row>
    <row r="15" spans="1:45" s="2" customFormat="1" x14ac:dyDescent="0.3">
      <c r="A15" s="2" t="s">
        <v>27</v>
      </c>
      <c r="B15" s="2" t="s">
        <v>108</v>
      </c>
      <c r="C15" s="2" t="s">
        <v>63</v>
      </c>
      <c r="D15" s="2" t="s">
        <v>109</v>
      </c>
      <c r="E15" s="2" t="s">
        <v>32</v>
      </c>
      <c r="F15" s="2" t="s">
        <v>69</v>
      </c>
      <c r="G15" s="2" t="s">
        <v>35</v>
      </c>
      <c r="H15" s="2" t="s">
        <v>53</v>
      </c>
      <c r="I15" s="2" t="s">
        <v>52</v>
      </c>
      <c r="J15" s="2" t="s">
        <v>52</v>
      </c>
      <c r="K15" s="2" t="s">
        <v>112</v>
      </c>
      <c r="L15" s="2" t="s">
        <v>40</v>
      </c>
      <c r="M15" s="2" t="s">
        <v>40</v>
      </c>
      <c r="N15" s="2" t="s">
        <v>41</v>
      </c>
      <c r="O15" s="2" t="s">
        <v>41</v>
      </c>
      <c r="R15" s="2" t="s">
        <v>40</v>
      </c>
      <c r="S15" s="2" t="s">
        <v>40</v>
      </c>
      <c r="T15" s="2" t="s">
        <v>40</v>
      </c>
      <c r="U15" s="2" t="s">
        <v>40</v>
      </c>
      <c r="V15" s="2" t="s">
        <v>40</v>
      </c>
      <c r="W15" s="5">
        <v>1</v>
      </c>
      <c r="X15" s="5">
        <v>1</v>
      </c>
      <c r="Y15" s="5">
        <v>0</v>
      </c>
      <c r="Z15" s="9">
        <v>0</v>
      </c>
      <c r="AA15" s="7">
        <v>2400000</v>
      </c>
      <c r="AB15" s="7">
        <v>200000</v>
      </c>
      <c r="AC15" s="7">
        <v>1136</v>
      </c>
      <c r="AD15" s="8">
        <v>0</v>
      </c>
      <c r="AE15" s="8">
        <v>0</v>
      </c>
      <c r="AF15" s="8">
        <v>0</v>
      </c>
      <c r="AG15" s="8">
        <v>0</v>
      </c>
      <c r="AH15" s="8">
        <v>1650</v>
      </c>
      <c r="AI15" s="10">
        <v>19800</v>
      </c>
      <c r="AJ15" s="2" t="s">
        <v>83</v>
      </c>
      <c r="AK15" s="2" t="s">
        <v>235</v>
      </c>
      <c r="AN15" s="2" t="s">
        <v>81</v>
      </c>
      <c r="AO15" s="2" t="s">
        <v>241</v>
      </c>
      <c r="AP15" s="2" t="s">
        <v>245</v>
      </c>
      <c r="AQ15" s="2" t="s">
        <v>227</v>
      </c>
    </row>
    <row r="16" spans="1:45" s="2" customFormat="1" x14ac:dyDescent="0.3">
      <c r="A16" s="2" t="s">
        <v>44</v>
      </c>
      <c r="B16" s="2" t="s">
        <v>57</v>
      </c>
      <c r="C16" s="2" t="s">
        <v>63</v>
      </c>
      <c r="D16" s="2" t="s">
        <v>31</v>
      </c>
      <c r="E16" s="2" t="s">
        <v>32</v>
      </c>
      <c r="F16" s="2" t="s">
        <v>50</v>
      </c>
      <c r="G16" s="2" t="s">
        <v>35</v>
      </c>
      <c r="H16" s="2" t="s">
        <v>53</v>
      </c>
      <c r="I16" s="2" t="s">
        <v>38</v>
      </c>
      <c r="J16" s="2" t="s">
        <v>52</v>
      </c>
      <c r="K16" s="2" t="s">
        <v>53</v>
      </c>
      <c r="L16" s="2" t="s">
        <v>40</v>
      </c>
      <c r="M16" s="2" t="s">
        <v>40</v>
      </c>
      <c r="N16" s="2" t="s">
        <v>40</v>
      </c>
      <c r="O16" s="2" t="s">
        <v>40</v>
      </c>
      <c r="R16" s="2" t="s">
        <v>40</v>
      </c>
      <c r="S16" s="2" t="s">
        <v>40</v>
      </c>
      <c r="T16" s="2" t="s">
        <v>40</v>
      </c>
      <c r="U16" s="2" t="s">
        <v>40</v>
      </c>
      <c r="V16" s="2" t="s">
        <v>40</v>
      </c>
      <c r="W16" s="5">
        <v>5</v>
      </c>
      <c r="X16" s="5">
        <v>1</v>
      </c>
      <c r="Y16" s="5">
        <v>4</v>
      </c>
      <c r="Z16" s="9">
        <v>0.8</v>
      </c>
      <c r="AA16" s="7">
        <v>3500000</v>
      </c>
      <c r="AB16" s="7">
        <v>291667</v>
      </c>
      <c r="AC16" s="7">
        <v>1994</v>
      </c>
      <c r="AD16" s="8">
        <v>7976</v>
      </c>
      <c r="AE16" s="8">
        <v>39880</v>
      </c>
      <c r="AF16" s="8">
        <v>159520</v>
      </c>
      <c r="AG16" s="8">
        <v>1914240</v>
      </c>
      <c r="AH16" s="8">
        <v>1650</v>
      </c>
      <c r="AI16" s="10">
        <v>19800</v>
      </c>
      <c r="AJ16" s="2" t="s">
        <v>232</v>
      </c>
      <c r="AN16" s="2" t="s">
        <v>81</v>
      </c>
      <c r="AO16" s="2" t="s">
        <v>243</v>
      </c>
      <c r="AP16" s="2" t="s">
        <v>241</v>
      </c>
    </row>
    <row r="17" spans="1:45" s="2" customFormat="1" x14ac:dyDescent="0.3">
      <c r="A17" s="2" t="s">
        <v>27</v>
      </c>
      <c r="B17" s="2" t="s">
        <v>57</v>
      </c>
      <c r="C17" s="2" t="s">
        <v>63</v>
      </c>
      <c r="D17" s="2" t="s">
        <v>48</v>
      </c>
      <c r="E17" s="2" t="s">
        <v>32</v>
      </c>
      <c r="F17" s="2" t="s">
        <v>50</v>
      </c>
      <c r="G17" s="2" t="s">
        <v>35</v>
      </c>
      <c r="H17" s="2" t="s">
        <v>53</v>
      </c>
      <c r="I17" s="2" t="s">
        <v>38</v>
      </c>
      <c r="J17" s="2" t="s">
        <v>52</v>
      </c>
      <c r="K17" s="2" t="s">
        <v>37</v>
      </c>
      <c r="L17" s="2" t="s">
        <v>40</v>
      </c>
      <c r="M17" s="2" t="s">
        <v>40</v>
      </c>
      <c r="N17" s="2" t="s">
        <v>40</v>
      </c>
      <c r="O17" s="2" t="s">
        <v>40</v>
      </c>
      <c r="R17" s="2" t="s">
        <v>40</v>
      </c>
      <c r="S17" s="2" t="s">
        <v>40</v>
      </c>
      <c r="T17" s="2" t="s">
        <v>40</v>
      </c>
      <c r="U17" s="2" t="s">
        <v>40</v>
      </c>
      <c r="V17" s="2" t="s">
        <v>40</v>
      </c>
      <c r="W17" s="5">
        <v>5</v>
      </c>
      <c r="X17" s="5">
        <v>1</v>
      </c>
      <c r="Y17" s="5">
        <v>4</v>
      </c>
      <c r="Z17" s="9">
        <v>0.8</v>
      </c>
      <c r="AA17" s="7">
        <v>3500000</v>
      </c>
      <c r="AB17" s="7">
        <v>291667</v>
      </c>
      <c r="AC17" s="7">
        <v>1994</v>
      </c>
      <c r="AD17" s="8">
        <v>7976</v>
      </c>
      <c r="AE17" s="8">
        <v>39880</v>
      </c>
      <c r="AF17" s="8">
        <v>159520</v>
      </c>
      <c r="AG17" s="8">
        <v>1914240</v>
      </c>
      <c r="AH17" s="8">
        <v>1650</v>
      </c>
      <c r="AI17" s="10">
        <v>19800</v>
      </c>
      <c r="AJ17" s="2" t="s">
        <v>83</v>
      </c>
      <c r="AN17" s="2" t="s">
        <v>190</v>
      </c>
      <c r="AO17" s="2" t="s">
        <v>243</v>
      </c>
      <c r="AP17" s="2" t="s">
        <v>241</v>
      </c>
      <c r="AQ17" s="2" t="s">
        <v>249</v>
      </c>
    </row>
    <row r="18" spans="1:45" s="2" customFormat="1" x14ac:dyDescent="0.3">
      <c r="A18" s="2" t="s">
        <v>44</v>
      </c>
      <c r="B18" s="2" t="s">
        <v>227</v>
      </c>
      <c r="C18" s="3" t="s">
        <v>47</v>
      </c>
      <c r="D18" s="2" t="s">
        <v>122</v>
      </c>
      <c r="E18" s="2" t="s">
        <v>32</v>
      </c>
      <c r="F18" s="5" t="s">
        <v>90</v>
      </c>
      <c r="G18" s="2" t="s">
        <v>35</v>
      </c>
      <c r="H18" s="2" t="s">
        <v>53</v>
      </c>
      <c r="I18" s="2" t="s">
        <v>124</v>
      </c>
      <c r="J18" s="2" t="s">
        <v>39</v>
      </c>
      <c r="K18" s="2" t="s">
        <v>53</v>
      </c>
      <c r="L18" s="2" t="s">
        <v>41</v>
      </c>
      <c r="M18" s="2" t="s">
        <v>76</v>
      </c>
      <c r="N18" s="2" t="s">
        <v>40</v>
      </c>
      <c r="O18" s="2" t="s">
        <v>41</v>
      </c>
      <c r="R18" s="2" t="s">
        <v>40</v>
      </c>
      <c r="S18" s="2" t="s">
        <v>125</v>
      </c>
      <c r="T18" s="2" t="s">
        <v>76</v>
      </c>
      <c r="U18" s="2" t="s">
        <v>76</v>
      </c>
      <c r="V18" s="2" t="s">
        <v>54</v>
      </c>
      <c r="W18" s="5">
        <v>9</v>
      </c>
      <c r="X18" s="5">
        <v>3</v>
      </c>
      <c r="Y18" s="5">
        <v>6</v>
      </c>
      <c r="Z18" s="9">
        <v>0.66666666666666663</v>
      </c>
      <c r="AA18" s="7">
        <v>1000000</v>
      </c>
      <c r="AB18" s="7">
        <v>83333</v>
      </c>
      <c r="AC18" s="7">
        <v>568</v>
      </c>
      <c r="AD18" s="8">
        <v>3408</v>
      </c>
      <c r="AE18" s="8">
        <v>17040</v>
      </c>
      <c r="AF18" s="8">
        <v>68160</v>
      </c>
      <c r="AG18" s="8">
        <v>817920</v>
      </c>
      <c r="AH18" s="8">
        <v>1650</v>
      </c>
      <c r="AI18" s="10">
        <v>19800</v>
      </c>
      <c r="AJ18" s="2" t="s">
        <v>232</v>
      </c>
      <c r="AN18" s="2" t="s">
        <v>190</v>
      </c>
      <c r="AO18" s="2" t="s">
        <v>242</v>
      </c>
      <c r="AP18" s="2" t="s">
        <v>241</v>
      </c>
    </row>
    <row r="19" spans="1:45" s="2" customFormat="1" x14ac:dyDescent="0.3">
      <c r="A19" s="2" t="s">
        <v>44</v>
      </c>
      <c r="B19" s="2" t="s">
        <v>73</v>
      </c>
      <c r="C19" s="4" t="s">
        <v>67</v>
      </c>
      <c r="D19" s="2" t="s">
        <v>128</v>
      </c>
      <c r="E19" s="2" t="s">
        <v>98</v>
      </c>
      <c r="F19" s="2" t="s">
        <v>252</v>
      </c>
      <c r="G19" s="2" t="s">
        <v>252</v>
      </c>
      <c r="H19" s="2" t="s">
        <v>252</v>
      </c>
      <c r="I19" s="2" t="s">
        <v>252</v>
      </c>
      <c r="J19" s="2" t="s">
        <v>252</v>
      </c>
      <c r="K19" s="2" t="s">
        <v>252</v>
      </c>
      <c r="L19" s="2" t="s">
        <v>252</v>
      </c>
      <c r="M19" s="2" t="s">
        <v>252</v>
      </c>
      <c r="N19" s="2" t="s">
        <v>252</v>
      </c>
      <c r="O19" s="2" t="s">
        <v>252</v>
      </c>
      <c r="P19" s="2" t="s">
        <v>129</v>
      </c>
      <c r="Q19" s="2" t="s">
        <v>40</v>
      </c>
      <c r="R19" s="2" t="s">
        <v>40</v>
      </c>
      <c r="S19" s="2" t="s">
        <v>41</v>
      </c>
      <c r="T19" s="2" t="s">
        <v>40</v>
      </c>
      <c r="U19" s="2" t="s">
        <v>40</v>
      </c>
      <c r="V19" s="2" t="s">
        <v>40</v>
      </c>
      <c r="W19" s="5">
        <v>0</v>
      </c>
      <c r="X19" s="5">
        <v>0</v>
      </c>
      <c r="Y19" s="5">
        <v>0</v>
      </c>
      <c r="Z19" s="9">
        <v>0</v>
      </c>
      <c r="AA19" s="7">
        <v>2300000</v>
      </c>
      <c r="AB19" s="7">
        <v>191667</v>
      </c>
      <c r="AC19" s="7">
        <v>1309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2" t="s">
        <v>252</v>
      </c>
      <c r="AK19" s="2" t="s">
        <v>252</v>
      </c>
      <c r="AL19" s="2" t="s">
        <v>252</v>
      </c>
      <c r="AM19" s="2" t="s">
        <v>252</v>
      </c>
      <c r="AN19" s="2" t="s">
        <v>252</v>
      </c>
      <c r="AO19" s="2" t="s">
        <v>252</v>
      </c>
      <c r="AP19" s="2" t="s">
        <v>252</v>
      </c>
      <c r="AQ19" s="2" t="s">
        <v>252</v>
      </c>
      <c r="AR19" s="2" t="s">
        <v>252</v>
      </c>
      <c r="AS19" s="2" t="s">
        <v>252</v>
      </c>
    </row>
    <row r="20" spans="1:45" s="2" customFormat="1" x14ac:dyDescent="0.3">
      <c r="A20" s="2" t="s">
        <v>44</v>
      </c>
      <c r="B20" s="2" t="s">
        <v>46</v>
      </c>
      <c r="C20" s="3" t="s">
        <v>47</v>
      </c>
      <c r="D20" s="2" t="s">
        <v>48</v>
      </c>
      <c r="E20" s="2" t="s">
        <v>32</v>
      </c>
      <c r="F20" s="5" t="s">
        <v>90</v>
      </c>
      <c r="G20" s="2" t="s">
        <v>35</v>
      </c>
      <c r="H20" s="2" t="s">
        <v>37</v>
      </c>
      <c r="I20" s="2" t="s">
        <v>38</v>
      </c>
      <c r="J20" s="2" t="s">
        <v>39</v>
      </c>
      <c r="K20" s="2" t="s">
        <v>53</v>
      </c>
      <c r="L20" s="2" t="s">
        <v>41</v>
      </c>
      <c r="M20" s="2" t="s">
        <v>40</v>
      </c>
      <c r="N20" s="2" t="s">
        <v>40</v>
      </c>
      <c r="O20" s="2" t="s">
        <v>40</v>
      </c>
      <c r="R20" s="2" t="s">
        <v>40</v>
      </c>
      <c r="S20" s="2" t="s">
        <v>40</v>
      </c>
      <c r="T20" s="2" t="s">
        <v>40</v>
      </c>
      <c r="U20" s="2" t="s">
        <v>40</v>
      </c>
      <c r="V20" s="2" t="s">
        <v>40</v>
      </c>
      <c r="W20" s="5">
        <v>5</v>
      </c>
      <c r="X20" s="5">
        <v>3</v>
      </c>
      <c r="Y20" s="5">
        <v>2</v>
      </c>
      <c r="Z20" s="9">
        <v>0.4</v>
      </c>
      <c r="AA20" s="7">
        <v>1000000</v>
      </c>
      <c r="AB20" s="7">
        <v>83333</v>
      </c>
      <c r="AC20" s="7">
        <v>568</v>
      </c>
      <c r="AD20" s="8">
        <v>1136</v>
      </c>
      <c r="AE20" s="8">
        <v>5680</v>
      </c>
      <c r="AF20" s="8">
        <v>22720</v>
      </c>
      <c r="AG20" s="8">
        <v>272640</v>
      </c>
      <c r="AH20" s="8">
        <v>1650</v>
      </c>
      <c r="AI20" s="10">
        <v>19800</v>
      </c>
      <c r="AJ20" s="2" t="s">
        <v>189</v>
      </c>
      <c r="AK20" s="2" t="s">
        <v>235</v>
      </c>
      <c r="AL20" s="2" t="s">
        <v>228</v>
      </c>
      <c r="AN20" s="2" t="s">
        <v>81</v>
      </c>
      <c r="AO20" s="2" t="s">
        <v>244</v>
      </c>
      <c r="AP20" s="2" t="s">
        <v>243</v>
      </c>
      <c r="AQ20" s="2" t="s">
        <v>241</v>
      </c>
    </row>
    <row r="21" spans="1:45" s="2" customFormat="1" x14ac:dyDescent="0.3">
      <c r="A21" s="2" t="s">
        <v>27</v>
      </c>
      <c r="B21" s="2" t="s">
        <v>62</v>
      </c>
      <c r="C21" s="4" t="s">
        <v>67</v>
      </c>
      <c r="D21" s="2" t="s">
        <v>31</v>
      </c>
      <c r="E21" s="2" t="s">
        <v>98</v>
      </c>
      <c r="F21" s="2" t="s">
        <v>252</v>
      </c>
      <c r="G21" s="2" t="s">
        <v>252</v>
      </c>
      <c r="H21" s="2" t="s">
        <v>252</v>
      </c>
      <c r="I21" s="2" t="s">
        <v>252</v>
      </c>
      <c r="J21" s="2" t="s">
        <v>252</v>
      </c>
      <c r="K21" s="2" t="s">
        <v>252</v>
      </c>
      <c r="L21" s="2" t="s">
        <v>252</v>
      </c>
      <c r="M21" s="2" t="s">
        <v>252</v>
      </c>
      <c r="N21" s="2" t="s">
        <v>252</v>
      </c>
      <c r="O21" s="2" t="s">
        <v>252</v>
      </c>
      <c r="P21" s="2" t="s">
        <v>134</v>
      </c>
      <c r="Q21" s="2" t="s">
        <v>40</v>
      </c>
      <c r="R21" s="2" t="s">
        <v>40</v>
      </c>
      <c r="S21" s="2" t="s">
        <v>41</v>
      </c>
      <c r="T21" s="2" t="s">
        <v>41</v>
      </c>
      <c r="U21" s="2" t="s">
        <v>40</v>
      </c>
      <c r="V21" s="2" t="s">
        <v>40</v>
      </c>
      <c r="W21" s="5">
        <v>0</v>
      </c>
      <c r="X21" s="5">
        <v>0</v>
      </c>
      <c r="Y21" s="5">
        <v>0</v>
      </c>
      <c r="Z21" s="9">
        <v>0</v>
      </c>
      <c r="AA21" s="7">
        <v>2400000</v>
      </c>
      <c r="AB21" s="7">
        <v>200000</v>
      </c>
      <c r="AC21" s="7">
        <v>1364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2" t="s">
        <v>252</v>
      </c>
      <c r="AK21" s="2" t="s">
        <v>252</v>
      </c>
      <c r="AL21" s="2" t="s">
        <v>252</v>
      </c>
      <c r="AM21" s="2" t="s">
        <v>252</v>
      </c>
      <c r="AN21" s="2" t="s">
        <v>252</v>
      </c>
      <c r="AO21" s="2" t="s">
        <v>252</v>
      </c>
      <c r="AP21" s="2" t="s">
        <v>252</v>
      </c>
      <c r="AQ21" s="2" t="s">
        <v>252</v>
      </c>
      <c r="AR21" s="2" t="s">
        <v>252</v>
      </c>
      <c r="AS21" s="2" t="s">
        <v>252</v>
      </c>
    </row>
    <row r="22" spans="1:45" s="2" customFormat="1" x14ac:dyDescent="0.3">
      <c r="A22" s="2" t="s">
        <v>27</v>
      </c>
      <c r="B22" s="2" t="s">
        <v>73</v>
      </c>
      <c r="C22" s="4" t="s">
        <v>67</v>
      </c>
      <c r="D22" s="2" t="s">
        <v>48</v>
      </c>
      <c r="E22" s="2" t="s">
        <v>32</v>
      </c>
      <c r="F22" s="5" t="s">
        <v>90</v>
      </c>
      <c r="G22" s="2" t="s">
        <v>35</v>
      </c>
      <c r="H22" s="2" t="s">
        <v>37</v>
      </c>
      <c r="I22" s="2" t="s">
        <v>39</v>
      </c>
      <c r="J22" s="2" t="s">
        <v>52</v>
      </c>
      <c r="K22" s="2" t="s">
        <v>37</v>
      </c>
      <c r="L22" s="2" t="s">
        <v>40</v>
      </c>
      <c r="M22" s="2" t="s">
        <v>42</v>
      </c>
      <c r="N22" s="2" t="s">
        <v>54</v>
      </c>
      <c r="O22" s="2" t="s">
        <v>54</v>
      </c>
      <c r="R22" s="2" t="s">
        <v>40</v>
      </c>
      <c r="S22" s="2" t="s">
        <v>40</v>
      </c>
      <c r="T22" s="2" t="s">
        <v>42</v>
      </c>
      <c r="U22" s="2" t="s">
        <v>42</v>
      </c>
      <c r="V22" s="2" t="s">
        <v>77</v>
      </c>
      <c r="W22" s="5">
        <v>3</v>
      </c>
      <c r="X22" s="5">
        <v>1</v>
      </c>
      <c r="Y22" s="5">
        <v>2</v>
      </c>
      <c r="Z22" s="9">
        <v>0.66666666666666663</v>
      </c>
      <c r="AA22" s="7">
        <v>2300000</v>
      </c>
      <c r="AB22" s="7">
        <v>191667</v>
      </c>
      <c r="AC22" s="7">
        <v>1309</v>
      </c>
      <c r="AD22" s="8">
        <v>2618</v>
      </c>
      <c r="AE22" s="8">
        <v>13090</v>
      </c>
      <c r="AF22" s="8">
        <v>52360</v>
      </c>
      <c r="AG22" s="8">
        <v>628320</v>
      </c>
      <c r="AH22" s="8">
        <v>1650</v>
      </c>
      <c r="AI22" s="10">
        <v>19800</v>
      </c>
      <c r="AJ22" s="2" t="s">
        <v>189</v>
      </c>
      <c r="AK22" s="2" t="s">
        <v>229</v>
      </c>
      <c r="AL22" s="2" t="s">
        <v>235</v>
      </c>
      <c r="AN22" s="2" t="s">
        <v>190</v>
      </c>
      <c r="AO22" s="2" t="s">
        <v>242</v>
      </c>
      <c r="AP22" s="2" t="s">
        <v>244</v>
      </c>
      <c r="AQ22" s="2" t="s">
        <v>243</v>
      </c>
      <c r="AR22" s="2" t="s">
        <v>241</v>
      </c>
    </row>
    <row r="23" spans="1:45" s="2" customFormat="1" x14ac:dyDescent="0.3">
      <c r="A23" s="2" t="s">
        <v>27</v>
      </c>
      <c r="B23" s="2" t="s">
        <v>227</v>
      </c>
      <c r="C23" s="4" t="s">
        <v>67</v>
      </c>
      <c r="D23" s="2" t="s">
        <v>141</v>
      </c>
      <c r="E23" s="2" t="s">
        <v>32</v>
      </c>
      <c r="F23" s="2" t="s">
        <v>50</v>
      </c>
      <c r="G23" s="2" t="s">
        <v>35</v>
      </c>
      <c r="H23" s="2" t="s">
        <v>37</v>
      </c>
      <c r="I23" s="2" t="s">
        <v>39</v>
      </c>
      <c r="J23" s="2" t="s">
        <v>52</v>
      </c>
      <c r="K23" s="2" t="s">
        <v>53</v>
      </c>
      <c r="L23" s="2" t="s">
        <v>54</v>
      </c>
      <c r="M23" s="2" t="s">
        <v>42</v>
      </c>
      <c r="N23" s="2" t="s">
        <v>54</v>
      </c>
      <c r="O23" s="2" t="s">
        <v>40</v>
      </c>
      <c r="R23" s="2" t="s">
        <v>54</v>
      </c>
      <c r="S23" s="2" t="s">
        <v>42</v>
      </c>
      <c r="T23" s="2" t="s">
        <v>42</v>
      </c>
      <c r="U23" s="2" t="s">
        <v>42</v>
      </c>
      <c r="V23" s="2" t="s">
        <v>40</v>
      </c>
      <c r="W23" s="5">
        <v>3</v>
      </c>
      <c r="X23" s="5">
        <v>1</v>
      </c>
      <c r="Y23" s="5">
        <v>2</v>
      </c>
      <c r="Z23" s="9">
        <v>0.66666666666666663</v>
      </c>
      <c r="AA23" s="7">
        <v>1850000</v>
      </c>
      <c r="AB23" s="7">
        <v>154167</v>
      </c>
      <c r="AC23" s="7">
        <v>876</v>
      </c>
      <c r="AD23" s="8">
        <v>1752</v>
      </c>
      <c r="AE23" s="8">
        <v>8760</v>
      </c>
      <c r="AF23" s="8">
        <v>35040</v>
      </c>
      <c r="AG23" s="8">
        <v>420480</v>
      </c>
      <c r="AH23" s="8">
        <v>1650</v>
      </c>
      <c r="AI23" s="10">
        <v>19800</v>
      </c>
      <c r="AJ23" s="2" t="s">
        <v>189</v>
      </c>
      <c r="AK23" s="2" t="s">
        <v>235</v>
      </c>
      <c r="AL23" s="2" t="s">
        <v>228</v>
      </c>
      <c r="AN23" s="2" t="s">
        <v>81</v>
      </c>
      <c r="AO23" s="2" t="s">
        <v>243</v>
      </c>
      <c r="AP23" s="2" t="s">
        <v>241</v>
      </c>
    </row>
    <row r="24" spans="1:45" s="2" customFormat="1" x14ac:dyDescent="0.3">
      <c r="A24" s="2" t="s">
        <v>27</v>
      </c>
      <c r="B24" s="2" t="s">
        <v>46</v>
      </c>
      <c r="C24" s="3" t="s">
        <v>47</v>
      </c>
      <c r="D24" s="2" t="s">
        <v>143</v>
      </c>
      <c r="E24" s="2" t="s">
        <v>32</v>
      </c>
      <c r="F24" s="2" t="s">
        <v>34</v>
      </c>
      <c r="G24" s="2" t="s">
        <v>145</v>
      </c>
      <c r="H24" s="2" t="s">
        <v>53</v>
      </c>
      <c r="I24" s="2" t="s">
        <v>39</v>
      </c>
      <c r="J24" s="2" t="s">
        <v>52</v>
      </c>
      <c r="K24" s="2" t="s">
        <v>53</v>
      </c>
      <c r="L24" s="2" t="s">
        <v>40</v>
      </c>
      <c r="M24" s="2" t="s">
        <v>42</v>
      </c>
      <c r="N24" s="2" t="s">
        <v>54</v>
      </c>
      <c r="O24" s="2" t="s">
        <v>54</v>
      </c>
      <c r="R24" s="2" t="s">
        <v>40</v>
      </c>
      <c r="S24" s="2" t="s">
        <v>41</v>
      </c>
      <c r="T24" s="2" t="s">
        <v>40</v>
      </c>
      <c r="U24" s="2" t="s">
        <v>40</v>
      </c>
      <c r="V24" s="2" t="s">
        <v>77</v>
      </c>
      <c r="W24" s="5">
        <v>3</v>
      </c>
      <c r="X24" s="5">
        <v>1</v>
      </c>
      <c r="Y24" s="5">
        <v>2</v>
      </c>
      <c r="Z24" s="9">
        <v>0.66666666666666663</v>
      </c>
      <c r="AA24" s="7">
        <v>1000000</v>
      </c>
      <c r="AB24" s="7">
        <v>83333</v>
      </c>
      <c r="AC24" s="7">
        <v>568</v>
      </c>
      <c r="AD24" s="8">
        <v>1136</v>
      </c>
      <c r="AE24" s="8">
        <v>5680</v>
      </c>
      <c r="AF24" s="8">
        <v>22720</v>
      </c>
      <c r="AG24" s="8">
        <v>272640</v>
      </c>
      <c r="AH24" s="8">
        <v>1650</v>
      </c>
      <c r="AI24" s="10">
        <v>19800</v>
      </c>
      <c r="AJ24" s="2" t="s">
        <v>232</v>
      </c>
      <c r="AK24" s="2" t="s">
        <v>228</v>
      </c>
      <c r="AN24" s="2" t="s">
        <v>81</v>
      </c>
      <c r="AO24" s="2" t="s">
        <v>241</v>
      </c>
    </row>
    <row r="25" spans="1:45" s="2" customFormat="1" x14ac:dyDescent="0.3">
      <c r="A25" s="2" t="s">
        <v>27</v>
      </c>
      <c r="B25" s="2" t="s">
        <v>227</v>
      </c>
      <c r="C25" s="4" t="s">
        <v>67</v>
      </c>
      <c r="D25" s="2" t="s">
        <v>149</v>
      </c>
      <c r="E25" s="2" t="s">
        <v>98</v>
      </c>
      <c r="F25" s="2" t="s">
        <v>252</v>
      </c>
      <c r="G25" s="2" t="s">
        <v>252</v>
      </c>
      <c r="H25" s="2" t="s">
        <v>252</v>
      </c>
      <c r="I25" s="2" t="s">
        <v>252</v>
      </c>
      <c r="J25" s="2" t="s">
        <v>252</v>
      </c>
      <c r="K25" s="2" t="s">
        <v>252</v>
      </c>
      <c r="L25" s="2" t="s">
        <v>252</v>
      </c>
      <c r="M25" s="2" t="s">
        <v>252</v>
      </c>
      <c r="N25" s="2" t="s">
        <v>252</v>
      </c>
      <c r="O25" s="2" t="s">
        <v>252</v>
      </c>
      <c r="P25" s="2" t="s">
        <v>150</v>
      </c>
      <c r="Q25" s="2" t="s">
        <v>77</v>
      </c>
      <c r="R25" s="2" t="s">
        <v>54</v>
      </c>
      <c r="S25" s="2" t="s">
        <v>42</v>
      </c>
      <c r="T25" s="2" t="s">
        <v>42</v>
      </c>
      <c r="U25" s="2" t="s">
        <v>42</v>
      </c>
      <c r="V25" s="2" t="s">
        <v>77</v>
      </c>
      <c r="W25" s="5">
        <v>0</v>
      </c>
      <c r="X25" s="5">
        <v>0</v>
      </c>
      <c r="Y25" s="5">
        <v>0</v>
      </c>
      <c r="Z25" s="9">
        <v>0</v>
      </c>
      <c r="AA25" s="7">
        <v>1850000</v>
      </c>
      <c r="AB25" s="7">
        <v>154167</v>
      </c>
      <c r="AC25" s="7">
        <v>876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2" t="s">
        <v>252</v>
      </c>
      <c r="AK25" s="2" t="s">
        <v>252</v>
      </c>
      <c r="AL25" s="2" t="s">
        <v>252</v>
      </c>
      <c r="AM25" s="2" t="s">
        <v>252</v>
      </c>
      <c r="AN25" s="2" t="s">
        <v>252</v>
      </c>
      <c r="AO25" s="2" t="s">
        <v>252</v>
      </c>
      <c r="AP25" s="2" t="s">
        <v>252</v>
      </c>
      <c r="AQ25" s="2" t="s">
        <v>252</v>
      </c>
      <c r="AR25" s="2" t="s">
        <v>252</v>
      </c>
      <c r="AS25" s="2" t="s">
        <v>252</v>
      </c>
    </row>
    <row r="26" spans="1:45" s="2" customFormat="1" x14ac:dyDescent="0.3">
      <c r="A26" s="2" t="s">
        <v>27</v>
      </c>
      <c r="B26" s="2" t="s">
        <v>46</v>
      </c>
      <c r="C26" s="3" t="s">
        <v>47</v>
      </c>
      <c r="D26" s="2" t="s">
        <v>48</v>
      </c>
      <c r="E26" s="2" t="s">
        <v>32</v>
      </c>
      <c r="F26" s="2" t="s">
        <v>34</v>
      </c>
      <c r="G26" s="2" t="s">
        <v>80</v>
      </c>
      <c r="H26" s="2" t="s">
        <v>65</v>
      </c>
      <c r="I26" s="2" t="s">
        <v>52</v>
      </c>
      <c r="J26" s="2" t="s">
        <v>52</v>
      </c>
      <c r="K26" s="2" t="s">
        <v>112</v>
      </c>
      <c r="L26" s="2" t="s">
        <v>40</v>
      </c>
      <c r="M26" s="2" t="s">
        <v>40</v>
      </c>
      <c r="N26" s="2" t="s">
        <v>40</v>
      </c>
      <c r="O26" s="2" t="s">
        <v>40</v>
      </c>
      <c r="R26" s="2" t="s">
        <v>40</v>
      </c>
      <c r="S26" s="2" t="s">
        <v>40</v>
      </c>
      <c r="T26" s="2" t="s">
        <v>40</v>
      </c>
      <c r="U26" s="2" t="s">
        <v>40</v>
      </c>
      <c r="V26" s="2" t="s">
        <v>40</v>
      </c>
      <c r="W26" s="5">
        <v>1</v>
      </c>
      <c r="X26" s="5">
        <v>1</v>
      </c>
      <c r="Y26" s="5">
        <v>0</v>
      </c>
      <c r="Z26" s="9">
        <v>0</v>
      </c>
      <c r="AA26" s="7">
        <v>1000000</v>
      </c>
      <c r="AB26" s="7">
        <v>83333</v>
      </c>
      <c r="AC26" s="7">
        <v>568</v>
      </c>
      <c r="AD26" s="8">
        <v>0</v>
      </c>
      <c r="AE26" s="8">
        <v>0</v>
      </c>
      <c r="AF26" s="8">
        <v>0</v>
      </c>
      <c r="AG26" s="8">
        <v>0</v>
      </c>
      <c r="AH26" s="8">
        <v>1650</v>
      </c>
      <c r="AI26" s="10">
        <v>19800</v>
      </c>
      <c r="AJ26" s="2" t="s">
        <v>232</v>
      </c>
      <c r="AN26" s="2" t="s">
        <v>81</v>
      </c>
    </row>
    <row r="27" spans="1:45" s="2" customFormat="1" x14ac:dyDescent="0.3">
      <c r="A27" s="2" t="s">
        <v>44</v>
      </c>
      <c r="B27" s="2" t="s">
        <v>73</v>
      </c>
      <c r="C27" s="2" t="s">
        <v>30</v>
      </c>
      <c r="D27" s="2" t="s">
        <v>48</v>
      </c>
      <c r="E27" s="2" t="s">
        <v>32</v>
      </c>
      <c r="F27" s="5" t="s">
        <v>90</v>
      </c>
      <c r="G27" s="2" t="s">
        <v>35</v>
      </c>
      <c r="H27" s="2" t="s">
        <v>53</v>
      </c>
      <c r="I27" s="2" t="s">
        <v>38</v>
      </c>
      <c r="J27" s="2" t="s">
        <v>39</v>
      </c>
      <c r="K27" s="2" t="s">
        <v>53</v>
      </c>
      <c r="L27" s="2" t="s">
        <v>41</v>
      </c>
      <c r="M27" s="2" t="s">
        <v>40</v>
      </c>
      <c r="N27" s="2" t="s">
        <v>41</v>
      </c>
      <c r="O27" s="2" t="s">
        <v>76</v>
      </c>
      <c r="R27" s="2" t="s">
        <v>40</v>
      </c>
      <c r="S27" s="2" t="s">
        <v>40</v>
      </c>
      <c r="T27" s="2" t="s">
        <v>40</v>
      </c>
      <c r="U27" s="2" t="s">
        <v>41</v>
      </c>
      <c r="V27" s="2" t="s">
        <v>54</v>
      </c>
      <c r="W27" s="5">
        <v>5</v>
      </c>
      <c r="X27" s="5">
        <v>3</v>
      </c>
      <c r="Y27" s="5">
        <v>2</v>
      </c>
      <c r="Z27" s="9">
        <v>0.4</v>
      </c>
      <c r="AA27" s="7">
        <v>500000</v>
      </c>
      <c r="AB27" s="7">
        <v>41667</v>
      </c>
      <c r="AC27" s="7">
        <v>284</v>
      </c>
      <c r="AD27" s="8">
        <v>568</v>
      </c>
      <c r="AE27" s="8">
        <v>2840</v>
      </c>
      <c r="AF27" s="8">
        <v>11360</v>
      </c>
      <c r="AG27" s="8">
        <v>136320</v>
      </c>
      <c r="AH27" s="8">
        <v>1650</v>
      </c>
      <c r="AI27" s="10">
        <v>19800</v>
      </c>
      <c r="AJ27" s="2" t="s">
        <v>189</v>
      </c>
      <c r="AK27" s="2" t="s">
        <v>235</v>
      </c>
      <c r="AN27" s="2" t="s">
        <v>190</v>
      </c>
      <c r="AO27" s="2" t="s">
        <v>244</v>
      </c>
      <c r="AP27" s="2" t="s">
        <v>241</v>
      </c>
    </row>
    <row r="28" spans="1:45" s="2" customFormat="1" x14ac:dyDescent="0.3">
      <c r="A28" s="2" t="s">
        <v>44</v>
      </c>
      <c r="B28" s="2" t="s">
        <v>227</v>
      </c>
      <c r="C28" s="3" t="s">
        <v>47</v>
      </c>
      <c r="D28" s="2" t="s">
        <v>158</v>
      </c>
      <c r="E28" s="2" t="s">
        <v>32</v>
      </c>
      <c r="F28" s="5" t="s">
        <v>90</v>
      </c>
      <c r="G28" s="2" t="s">
        <v>35</v>
      </c>
      <c r="H28" s="2" t="s">
        <v>53</v>
      </c>
      <c r="I28" s="2" t="s">
        <v>38</v>
      </c>
      <c r="J28" s="2" t="s">
        <v>52</v>
      </c>
      <c r="K28" s="2" t="s">
        <v>53</v>
      </c>
      <c r="L28" s="2" t="s">
        <v>40</v>
      </c>
      <c r="M28" s="2" t="s">
        <v>40</v>
      </c>
      <c r="N28" s="2" t="s">
        <v>40</v>
      </c>
      <c r="O28" s="2" t="s">
        <v>40</v>
      </c>
      <c r="R28" s="2" t="s">
        <v>40</v>
      </c>
      <c r="S28" s="2" t="s">
        <v>40</v>
      </c>
      <c r="T28" s="2" t="s">
        <v>40</v>
      </c>
      <c r="U28" s="2" t="s">
        <v>42</v>
      </c>
      <c r="V28" s="2" t="s">
        <v>40</v>
      </c>
      <c r="W28" s="5">
        <v>5</v>
      </c>
      <c r="X28" s="5">
        <v>1</v>
      </c>
      <c r="Y28" s="5">
        <v>4</v>
      </c>
      <c r="Z28" s="9">
        <v>0.8</v>
      </c>
      <c r="AA28" s="7">
        <v>1000000</v>
      </c>
      <c r="AB28" s="7">
        <v>83333</v>
      </c>
      <c r="AC28" s="7">
        <v>568</v>
      </c>
      <c r="AD28" s="8">
        <v>2272</v>
      </c>
      <c r="AE28" s="8">
        <v>11360</v>
      </c>
      <c r="AF28" s="8">
        <v>45440</v>
      </c>
      <c r="AG28" s="8">
        <v>545280</v>
      </c>
      <c r="AH28" s="8">
        <v>1650</v>
      </c>
      <c r="AI28" s="10">
        <v>19800</v>
      </c>
      <c r="AJ28" s="2" t="s">
        <v>189</v>
      </c>
      <c r="AK28" s="2" t="s">
        <v>228</v>
      </c>
      <c r="AN28" s="2" t="s">
        <v>160</v>
      </c>
    </row>
    <row r="29" spans="1:45" s="2" customFormat="1" x14ac:dyDescent="0.3">
      <c r="A29" s="2" t="s">
        <v>44</v>
      </c>
      <c r="B29" s="2" t="s">
        <v>227</v>
      </c>
      <c r="C29" s="4" t="s">
        <v>67</v>
      </c>
      <c r="D29" s="2" t="s">
        <v>48</v>
      </c>
      <c r="E29" s="2" t="s">
        <v>32</v>
      </c>
      <c r="F29" s="2" t="s">
        <v>50</v>
      </c>
      <c r="G29" s="2" t="s">
        <v>35</v>
      </c>
      <c r="H29" s="2" t="s">
        <v>37</v>
      </c>
      <c r="I29" s="2" t="s">
        <v>39</v>
      </c>
      <c r="J29" s="2" t="s">
        <v>52</v>
      </c>
      <c r="K29" s="2" t="s">
        <v>112</v>
      </c>
      <c r="L29" s="2" t="s">
        <v>41</v>
      </c>
      <c r="M29" s="2" t="s">
        <v>40</v>
      </c>
      <c r="N29" s="2" t="s">
        <v>40</v>
      </c>
      <c r="O29" s="2" t="s">
        <v>40</v>
      </c>
      <c r="R29" s="2" t="s">
        <v>40</v>
      </c>
      <c r="S29" s="2" t="s">
        <v>40</v>
      </c>
      <c r="T29" s="2" t="s">
        <v>40</v>
      </c>
      <c r="U29" s="2" t="s">
        <v>40</v>
      </c>
      <c r="V29" s="2" t="s">
        <v>77</v>
      </c>
      <c r="W29" s="5">
        <v>3</v>
      </c>
      <c r="X29" s="5">
        <v>1</v>
      </c>
      <c r="Y29" s="5">
        <v>2</v>
      </c>
      <c r="Z29" s="9">
        <v>0.66666666666666663</v>
      </c>
      <c r="AA29" s="7">
        <v>1850000</v>
      </c>
      <c r="AB29" s="7">
        <v>154167</v>
      </c>
      <c r="AC29" s="7">
        <v>876</v>
      </c>
      <c r="AD29" s="8">
        <v>1752</v>
      </c>
      <c r="AE29" s="8">
        <v>8760</v>
      </c>
      <c r="AF29" s="8">
        <v>35040</v>
      </c>
      <c r="AG29" s="8">
        <v>420480</v>
      </c>
      <c r="AH29" s="8">
        <v>1650</v>
      </c>
      <c r="AI29" s="10">
        <v>19800</v>
      </c>
      <c r="AJ29" s="2" t="s">
        <v>189</v>
      </c>
      <c r="AK29" s="2" t="s">
        <v>229</v>
      </c>
      <c r="AL29" s="2" t="s">
        <v>235</v>
      </c>
      <c r="AM29" s="2" t="s">
        <v>228</v>
      </c>
      <c r="AN29" s="2" t="s">
        <v>190</v>
      </c>
      <c r="AO29" s="2" t="s">
        <v>242</v>
      </c>
      <c r="AP29" s="2" t="s">
        <v>243</v>
      </c>
    </row>
    <row r="30" spans="1:45" s="2" customFormat="1" x14ac:dyDescent="0.3">
      <c r="A30" s="2" t="s">
        <v>44</v>
      </c>
      <c r="B30" s="2" t="s">
        <v>57</v>
      </c>
      <c r="C30" s="3" t="s">
        <v>47</v>
      </c>
      <c r="D30" s="2" t="s">
        <v>109</v>
      </c>
      <c r="E30" s="2" t="s">
        <v>98</v>
      </c>
      <c r="F30" s="2" t="s">
        <v>252</v>
      </c>
      <c r="G30" s="2" t="s">
        <v>252</v>
      </c>
      <c r="H30" s="2" t="s">
        <v>252</v>
      </c>
      <c r="I30" s="2" t="s">
        <v>252</v>
      </c>
      <c r="J30" s="2" t="s">
        <v>252</v>
      </c>
      <c r="K30" s="2" t="s">
        <v>252</v>
      </c>
      <c r="L30" s="2" t="s">
        <v>252</v>
      </c>
      <c r="M30" s="2" t="s">
        <v>252</v>
      </c>
      <c r="N30" s="2" t="s">
        <v>252</v>
      </c>
      <c r="O30" s="2" t="s">
        <v>252</v>
      </c>
      <c r="P30" s="2" t="s">
        <v>99</v>
      </c>
      <c r="Q30" s="2" t="s">
        <v>40</v>
      </c>
      <c r="R30" s="2" t="s">
        <v>40</v>
      </c>
      <c r="S30" s="2" t="s">
        <v>41</v>
      </c>
      <c r="T30" s="2" t="s">
        <v>40</v>
      </c>
      <c r="U30" s="2" t="s">
        <v>41</v>
      </c>
      <c r="V30" s="2" t="s">
        <v>77</v>
      </c>
      <c r="W30" s="5">
        <v>0</v>
      </c>
      <c r="X30" s="5">
        <v>0</v>
      </c>
      <c r="Y30" s="5">
        <v>0</v>
      </c>
      <c r="Z30" s="9">
        <v>0</v>
      </c>
      <c r="AA30" s="7">
        <v>1250000</v>
      </c>
      <c r="AB30" s="7">
        <v>104167</v>
      </c>
      <c r="AC30" s="7">
        <v>710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2" t="s">
        <v>252</v>
      </c>
      <c r="AK30" s="2" t="s">
        <v>252</v>
      </c>
      <c r="AL30" s="2" t="s">
        <v>252</v>
      </c>
      <c r="AM30" s="2" t="s">
        <v>252</v>
      </c>
      <c r="AN30" s="2" t="s">
        <v>252</v>
      </c>
      <c r="AO30" s="2" t="s">
        <v>252</v>
      </c>
      <c r="AP30" s="2" t="s">
        <v>252</v>
      </c>
      <c r="AQ30" s="2" t="s">
        <v>252</v>
      </c>
      <c r="AR30" s="2" t="s">
        <v>252</v>
      </c>
      <c r="AS30" s="2" t="s">
        <v>252</v>
      </c>
    </row>
    <row r="31" spans="1:45" s="2" customFormat="1" x14ac:dyDescent="0.3">
      <c r="A31" s="2" t="s">
        <v>44</v>
      </c>
      <c r="B31" s="2" t="s">
        <v>62</v>
      </c>
      <c r="C31" s="3" t="s">
        <v>47</v>
      </c>
      <c r="D31" s="2" t="s">
        <v>48</v>
      </c>
      <c r="E31" s="2" t="s">
        <v>32</v>
      </c>
      <c r="F31" s="5" t="s">
        <v>90</v>
      </c>
      <c r="G31" s="2" t="s">
        <v>70</v>
      </c>
      <c r="H31" s="2" t="s">
        <v>53</v>
      </c>
      <c r="I31" s="2" t="s">
        <v>39</v>
      </c>
      <c r="J31" s="2" t="s">
        <v>52</v>
      </c>
      <c r="K31" s="2" t="s">
        <v>53</v>
      </c>
      <c r="L31" s="2" t="s">
        <v>40</v>
      </c>
      <c r="M31" s="2" t="s">
        <v>42</v>
      </c>
      <c r="N31" s="2" t="s">
        <v>40</v>
      </c>
      <c r="O31" s="2" t="s">
        <v>40</v>
      </c>
      <c r="R31" s="2" t="s">
        <v>41</v>
      </c>
      <c r="S31" s="2" t="s">
        <v>40</v>
      </c>
      <c r="T31" s="2" t="s">
        <v>41</v>
      </c>
      <c r="U31" s="2" t="s">
        <v>42</v>
      </c>
      <c r="V31" s="2" t="s">
        <v>77</v>
      </c>
      <c r="W31" s="5">
        <v>3</v>
      </c>
      <c r="X31" s="5">
        <v>1</v>
      </c>
      <c r="Y31" s="5">
        <v>2</v>
      </c>
      <c r="Z31" s="9">
        <v>0.66666666666666663</v>
      </c>
      <c r="AA31" s="7">
        <v>1500000</v>
      </c>
      <c r="AB31" s="7">
        <v>125000</v>
      </c>
      <c r="AC31" s="7">
        <v>852</v>
      </c>
      <c r="AD31" s="8">
        <v>1704</v>
      </c>
      <c r="AE31" s="8">
        <v>8520</v>
      </c>
      <c r="AF31" s="8">
        <v>34080</v>
      </c>
      <c r="AG31" s="8">
        <v>408960</v>
      </c>
      <c r="AH31" s="8">
        <v>1650</v>
      </c>
      <c r="AI31" s="10">
        <v>19800</v>
      </c>
      <c r="AJ31" s="2" t="s">
        <v>189</v>
      </c>
      <c r="AK31" s="2" t="s">
        <v>229</v>
      </c>
      <c r="AL31" s="2" t="s">
        <v>228</v>
      </c>
      <c r="AN31" s="2" t="s">
        <v>81</v>
      </c>
      <c r="AO31" s="2" t="s">
        <v>244</v>
      </c>
      <c r="AP31" s="2" t="s">
        <v>241</v>
      </c>
    </row>
    <row r="32" spans="1:45" s="2" customFormat="1" x14ac:dyDescent="0.3">
      <c r="A32" s="2" t="s">
        <v>27</v>
      </c>
      <c r="B32" s="2" t="s">
        <v>73</v>
      </c>
      <c r="C32" s="4" t="s">
        <v>67</v>
      </c>
      <c r="D32" s="2" t="s">
        <v>48</v>
      </c>
      <c r="E32" s="2" t="s">
        <v>32</v>
      </c>
      <c r="F32" s="2" t="s">
        <v>50</v>
      </c>
      <c r="G32" s="2" t="s">
        <v>35</v>
      </c>
      <c r="H32" s="2" t="s">
        <v>84</v>
      </c>
      <c r="I32" s="2" t="s">
        <v>124</v>
      </c>
      <c r="J32" s="2" t="s">
        <v>52</v>
      </c>
      <c r="K32" s="2" t="s">
        <v>85</v>
      </c>
      <c r="L32" s="2" t="s">
        <v>54</v>
      </c>
      <c r="M32" s="2" t="s">
        <v>42</v>
      </c>
      <c r="N32" s="2" t="s">
        <v>54</v>
      </c>
      <c r="O32" s="2" t="s">
        <v>54</v>
      </c>
      <c r="R32" s="2" t="s">
        <v>54</v>
      </c>
      <c r="S32" s="2" t="s">
        <v>42</v>
      </c>
      <c r="T32" s="2" t="s">
        <v>42</v>
      </c>
      <c r="U32" s="2" t="s">
        <v>42</v>
      </c>
      <c r="V32" s="2" t="s">
        <v>54</v>
      </c>
      <c r="W32" s="5">
        <v>9</v>
      </c>
      <c r="X32" s="5">
        <v>1</v>
      </c>
      <c r="Y32" s="5">
        <v>8</v>
      </c>
      <c r="Z32" s="9">
        <v>0.88888888888888884</v>
      </c>
      <c r="AA32" s="7">
        <v>2300000</v>
      </c>
      <c r="AB32" s="7">
        <v>191667</v>
      </c>
      <c r="AC32" s="7">
        <v>1309</v>
      </c>
      <c r="AD32" s="8">
        <v>10472</v>
      </c>
      <c r="AE32" s="8">
        <v>52360</v>
      </c>
      <c r="AF32" s="8">
        <v>209440</v>
      </c>
      <c r="AG32" s="8">
        <v>2513280</v>
      </c>
      <c r="AH32" s="8">
        <v>1650</v>
      </c>
      <c r="AI32" s="10">
        <v>19800</v>
      </c>
      <c r="AJ32" s="2" t="s">
        <v>189</v>
      </c>
      <c r="AK32" s="2" t="s">
        <v>229</v>
      </c>
      <c r="AL32" s="2" t="s">
        <v>233</v>
      </c>
      <c r="AN32" s="2" t="s">
        <v>190</v>
      </c>
      <c r="AO32" s="2" t="s">
        <v>242</v>
      </c>
      <c r="AP32" s="2" t="s">
        <v>244</v>
      </c>
      <c r="AQ32" s="2" t="s">
        <v>243</v>
      </c>
      <c r="AR32" s="2" t="s">
        <v>241</v>
      </c>
    </row>
    <row r="33" spans="1:45" s="2" customFormat="1" x14ac:dyDescent="0.3">
      <c r="A33" s="2" t="s">
        <v>44</v>
      </c>
      <c r="B33" s="2" t="s">
        <v>73</v>
      </c>
      <c r="C33" s="4" t="s">
        <v>67</v>
      </c>
      <c r="D33" s="2" t="s">
        <v>48</v>
      </c>
      <c r="E33" s="2" t="s">
        <v>32</v>
      </c>
      <c r="F33" s="5" t="s">
        <v>90</v>
      </c>
      <c r="G33" s="2" t="s">
        <v>35</v>
      </c>
      <c r="H33" s="2" t="s">
        <v>84</v>
      </c>
      <c r="I33" s="2" t="s">
        <v>124</v>
      </c>
      <c r="J33" s="2" t="s">
        <v>52</v>
      </c>
      <c r="K33" s="2" t="s">
        <v>85</v>
      </c>
      <c r="L33" s="2" t="s">
        <v>54</v>
      </c>
      <c r="M33" s="2" t="s">
        <v>42</v>
      </c>
      <c r="N33" s="2" t="s">
        <v>54</v>
      </c>
      <c r="O33" s="2" t="s">
        <v>54</v>
      </c>
      <c r="R33" s="2" t="s">
        <v>54</v>
      </c>
      <c r="S33" s="2" t="s">
        <v>42</v>
      </c>
      <c r="T33" s="2" t="s">
        <v>42</v>
      </c>
      <c r="U33" s="2" t="s">
        <v>42</v>
      </c>
      <c r="V33" s="2" t="s">
        <v>54</v>
      </c>
      <c r="W33" s="5">
        <v>9</v>
      </c>
      <c r="X33" s="5">
        <v>1</v>
      </c>
      <c r="Y33" s="5">
        <v>8</v>
      </c>
      <c r="Z33" s="9">
        <v>0.88888888888888884</v>
      </c>
      <c r="AA33" s="7">
        <v>2300000</v>
      </c>
      <c r="AB33" s="7">
        <v>191667</v>
      </c>
      <c r="AC33" s="7">
        <v>1309</v>
      </c>
      <c r="AD33" s="8">
        <v>10472</v>
      </c>
      <c r="AE33" s="8">
        <v>52360</v>
      </c>
      <c r="AF33" s="8">
        <v>209440</v>
      </c>
      <c r="AG33" s="8">
        <v>2513280</v>
      </c>
      <c r="AH33" s="8">
        <v>1650</v>
      </c>
      <c r="AI33" s="10">
        <v>19800</v>
      </c>
      <c r="AJ33" s="2" t="s">
        <v>189</v>
      </c>
      <c r="AK33" s="2" t="s">
        <v>229</v>
      </c>
      <c r="AL33" s="2" t="s">
        <v>235</v>
      </c>
      <c r="AM33" s="2" t="s">
        <v>228</v>
      </c>
      <c r="AN33" s="2" t="s">
        <v>190</v>
      </c>
      <c r="AO33" s="2" t="s">
        <v>242</v>
      </c>
      <c r="AP33" s="2" t="s">
        <v>244</v>
      </c>
      <c r="AQ33" s="2" t="s">
        <v>243</v>
      </c>
      <c r="AR33" s="2" t="s">
        <v>241</v>
      </c>
    </row>
    <row r="34" spans="1:45" s="2" customFormat="1" x14ac:dyDescent="0.3">
      <c r="A34" s="2" t="s">
        <v>44</v>
      </c>
      <c r="B34" s="2" t="s">
        <v>46</v>
      </c>
      <c r="C34" s="4" t="s">
        <v>67</v>
      </c>
      <c r="D34" s="2" t="s">
        <v>109</v>
      </c>
      <c r="E34" s="2" t="s">
        <v>32</v>
      </c>
      <c r="F34" s="2" t="s">
        <v>34</v>
      </c>
      <c r="G34" s="2" t="s">
        <v>35</v>
      </c>
      <c r="H34" s="2" t="s">
        <v>53</v>
      </c>
      <c r="I34" s="2" t="s">
        <v>39</v>
      </c>
      <c r="J34" s="2" t="s">
        <v>52</v>
      </c>
      <c r="K34" s="2" t="s">
        <v>37</v>
      </c>
      <c r="L34" s="2" t="s">
        <v>54</v>
      </c>
      <c r="M34" s="2" t="s">
        <v>42</v>
      </c>
      <c r="N34" s="2" t="s">
        <v>54</v>
      </c>
      <c r="O34" s="2" t="s">
        <v>54</v>
      </c>
      <c r="R34" s="2" t="s">
        <v>54</v>
      </c>
      <c r="S34" s="2" t="s">
        <v>42</v>
      </c>
      <c r="T34" s="2" t="s">
        <v>42</v>
      </c>
      <c r="U34" s="2" t="s">
        <v>42</v>
      </c>
      <c r="V34" s="2" t="s">
        <v>54</v>
      </c>
      <c r="W34" s="5">
        <v>3</v>
      </c>
      <c r="X34" s="5">
        <v>1</v>
      </c>
      <c r="Y34" s="5">
        <v>2</v>
      </c>
      <c r="Z34" s="9">
        <v>0.66666666666666663</v>
      </c>
      <c r="AA34" s="7">
        <v>1750000</v>
      </c>
      <c r="AB34" s="7">
        <v>145833</v>
      </c>
      <c r="AC34" s="7">
        <v>994</v>
      </c>
      <c r="AD34" s="8">
        <v>1988</v>
      </c>
      <c r="AE34" s="8">
        <v>9940</v>
      </c>
      <c r="AF34" s="8">
        <v>39760</v>
      </c>
      <c r="AG34" s="8">
        <v>477120</v>
      </c>
      <c r="AH34" s="8">
        <v>1650</v>
      </c>
      <c r="AI34" s="10">
        <v>19800</v>
      </c>
      <c r="AJ34" s="2" t="s">
        <v>189</v>
      </c>
      <c r="AK34" s="2" t="s">
        <v>235</v>
      </c>
      <c r="AN34" s="2" t="s">
        <v>81</v>
      </c>
      <c r="AO34" s="2" t="s">
        <v>243</v>
      </c>
      <c r="AP34" s="2" t="s">
        <v>241</v>
      </c>
    </row>
    <row r="35" spans="1:45" s="2" customFormat="1" x14ac:dyDescent="0.3">
      <c r="A35" s="2" t="s">
        <v>44</v>
      </c>
      <c r="B35" s="2" t="s">
        <v>46</v>
      </c>
      <c r="C35" s="2" t="s">
        <v>63</v>
      </c>
      <c r="D35" s="2" t="s">
        <v>48</v>
      </c>
      <c r="E35" s="2" t="s">
        <v>98</v>
      </c>
      <c r="F35" s="2" t="s">
        <v>252</v>
      </c>
      <c r="G35" s="2" t="s">
        <v>252</v>
      </c>
      <c r="H35" s="2" t="s">
        <v>252</v>
      </c>
      <c r="I35" s="2" t="s">
        <v>252</v>
      </c>
      <c r="J35" s="2" t="s">
        <v>252</v>
      </c>
      <c r="K35" s="2" t="s">
        <v>252</v>
      </c>
      <c r="L35" s="2" t="s">
        <v>252</v>
      </c>
      <c r="M35" s="2" t="s">
        <v>252</v>
      </c>
      <c r="N35" s="2" t="s">
        <v>252</v>
      </c>
      <c r="O35" s="2" t="s">
        <v>252</v>
      </c>
      <c r="P35" s="2" t="s">
        <v>179</v>
      </c>
      <c r="Q35" s="2" t="s">
        <v>77</v>
      </c>
      <c r="R35" s="2" t="s">
        <v>41</v>
      </c>
      <c r="S35" s="2" t="s">
        <v>41</v>
      </c>
      <c r="T35" s="2" t="s">
        <v>41</v>
      </c>
      <c r="U35" s="2" t="s">
        <v>40</v>
      </c>
      <c r="V35" s="2" t="s">
        <v>40</v>
      </c>
      <c r="W35" s="5">
        <v>0</v>
      </c>
      <c r="X35" s="5">
        <v>0</v>
      </c>
      <c r="Y35" s="5">
        <v>0</v>
      </c>
      <c r="Z35" s="9">
        <v>0</v>
      </c>
      <c r="AA35" s="7">
        <v>3000000</v>
      </c>
      <c r="AB35" s="7">
        <v>250000</v>
      </c>
      <c r="AC35" s="7">
        <v>1705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2" t="s">
        <v>252</v>
      </c>
      <c r="AK35" s="2" t="s">
        <v>252</v>
      </c>
      <c r="AL35" s="2" t="s">
        <v>252</v>
      </c>
      <c r="AM35" s="2" t="s">
        <v>252</v>
      </c>
      <c r="AN35" s="2" t="s">
        <v>252</v>
      </c>
      <c r="AO35" s="2" t="s">
        <v>252</v>
      </c>
      <c r="AP35" s="2" t="s">
        <v>252</v>
      </c>
      <c r="AQ35" s="2" t="s">
        <v>252</v>
      </c>
      <c r="AR35" s="2" t="s">
        <v>252</v>
      </c>
      <c r="AS35" s="2" t="s">
        <v>252</v>
      </c>
    </row>
    <row r="36" spans="1:45" s="2" customFormat="1" x14ac:dyDescent="0.3">
      <c r="A36" s="2" t="s">
        <v>44</v>
      </c>
      <c r="B36" s="2" t="s">
        <v>73</v>
      </c>
      <c r="C36" s="4" t="s">
        <v>67</v>
      </c>
      <c r="D36" s="2" t="s">
        <v>48</v>
      </c>
      <c r="E36" s="2" t="s">
        <v>32</v>
      </c>
      <c r="F36" s="5" t="s">
        <v>90</v>
      </c>
      <c r="G36" s="2" t="s">
        <v>35</v>
      </c>
      <c r="H36" s="2" t="s">
        <v>84</v>
      </c>
      <c r="I36" s="2" t="s">
        <v>38</v>
      </c>
      <c r="J36" s="2" t="s">
        <v>52</v>
      </c>
      <c r="K36" s="2" t="s">
        <v>85</v>
      </c>
      <c r="L36" s="2" t="s">
        <v>54</v>
      </c>
      <c r="M36" s="2" t="s">
        <v>42</v>
      </c>
      <c r="N36" s="2" t="s">
        <v>54</v>
      </c>
      <c r="O36" s="2" t="s">
        <v>40</v>
      </c>
      <c r="R36" s="2" t="s">
        <v>40</v>
      </c>
      <c r="S36" s="2" t="s">
        <v>40</v>
      </c>
      <c r="T36" s="2" t="s">
        <v>40</v>
      </c>
      <c r="U36" s="2" t="s">
        <v>40</v>
      </c>
      <c r="V36" s="2" t="s">
        <v>40</v>
      </c>
      <c r="W36" s="5">
        <v>5</v>
      </c>
      <c r="X36" s="5">
        <v>1</v>
      </c>
      <c r="Y36" s="5">
        <v>4</v>
      </c>
      <c r="Z36" s="9">
        <v>0.8</v>
      </c>
      <c r="AA36" s="7">
        <v>2300000</v>
      </c>
      <c r="AB36" s="7">
        <v>191667</v>
      </c>
      <c r="AC36" s="7">
        <v>1309</v>
      </c>
      <c r="AD36" s="8">
        <v>5236</v>
      </c>
      <c r="AE36" s="8">
        <v>26180</v>
      </c>
      <c r="AF36" s="8">
        <v>104720</v>
      </c>
      <c r="AG36" s="8">
        <v>1256640</v>
      </c>
      <c r="AH36" s="8">
        <v>1650</v>
      </c>
      <c r="AI36" s="10">
        <v>19800</v>
      </c>
      <c r="AJ36" s="2" t="s">
        <v>189</v>
      </c>
      <c r="AK36" s="2" t="s">
        <v>229</v>
      </c>
      <c r="AL36" s="2" t="s">
        <v>228</v>
      </c>
      <c r="AM36" s="2" t="s">
        <v>234</v>
      </c>
      <c r="AN36" s="2" t="s">
        <v>190</v>
      </c>
      <c r="AO36" s="2" t="s">
        <v>242</v>
      </c>
      <c r="AP36" s="2" t="s">
        <v>244</v>
      </c>
    </row>
    <row r="37" spans="1:45" s="2" customFormat="1" x14ac:dyDescent="0.3">
      <c r="A37" s="2" t="s">
        <v>27</v>
      </c>
      <c r="B37" s="2" t="s">
        <v>73</v>
      </c>
      <c r="C37" s="4" t="s">
        <v>67</v>
      </c>
      <c r="D37" s="2" t="s">
        <v>48</v>
      </c>
      <c r="E37" s="2" t="s">
        <v>32</v>
      </c>
      <c r="F37" s="2" t="s">
        <v>50</v>
      </c>
      <c r="G37" s="2" t="s">
        <v>35</v>
      </c>
      <c r="H37" s="2" t="s">
        <v>53</v>
      </c>
      <c r="I37" s="2" t="s">
        <v>39</v>
      </c>
      <c r="J37" s="2" t="s">
        <v>52</v>
      </c>
      <c r="K37" s="2" t="s">
        <v>37</v>
      </c>
      <c r="L37" s="2" t="s">
        <v>54</v>
      </c>
      <c r="M37" s="2" t="s">
        <v>42</v>
      </c>
      <c r="N37" s="2" t="s">
        <v>54</v>
      </c>
      <c r="O37" s="2" t="s">
        <v>54</v>
      </c>
      <c r="R37" s="2" t="s">
        <v>54</v>
      </c>
      <c r="S37" s="2" t="s">
        <v>42</v>
      </c>
      <c r="T37" s="2" t="s">
        <v>42</v>
      </c>
      <c r="U37" s="2" t="s">
        <v>42</v>
      </c>
      <c r="V37" s="2" t="s">
        <v>54</v>
      </c>
      <c r="W37" s="5">
        <v>3</v>
      </c>
      <c r="X37" s="5">
        <v>1</v>
      </c>
      <c r="Y37" s="5">
        <v>2</v>
      </c>
      <c r="Z37" s="9">
        <v>0.66666666666666663</v>
      </c>
      <c r="AA37" s="7">
        <v>2300000</v>
      </c>
      <c r="AB37" s="7">
        <v>191667</v>
      </c>
      <c r="AC37" s="7">
        <v>1309</v>
      </c>
      <c r="AD37" s="8">
        <v>2618</v>
      </c>
      <c r="AE37" s="8">
        <v>13090</v>
      </c>
      <c r="AF37" s="8">
        <v>52360</v>
      </c>
      <c r="AG37" s="8">
        <v>628320</v>
      </c>
      <c r="AH37" s="8">
        <v>1650</v>
      </c>
      <c r="AI37" s="10">
        <v>19800</v>
      </c>
      <c r="AJ37" s="2" t="s">
        <v>83</v>
      </c>
      <c r="AN37" s="2" t="s">
        <v>190</v>
      </c>
      <c r="AO37" s="2" t="s">
        <v>242</v>
      </c>
      <c r="AP37" s="2" t="s">
        <v>244</v>
      </c>
    </row>
    <row r="38" spans="1:45" s="2" customFormat="1" x14ac:dyDescent="0.3">
      <c r="A38" s="2" t="s">
        <v>44</v>
      </c>
      <c r="B38" s="2" t="s">
        <v>46</v>
      </c>
      <c r="C38" s="4" t="s">
        <v>67</v>
      </c>
      <c r="D38" s="2" t="s">
        <v>48</v>
      </c>
      <c r="E38" s="2" t="s">
        <v>32</v>
      </c>
      <c r="F38" s="2" t="s">
        <v>50</v>
      </c>
      <c r="G38" s="2" t="s">
        <v>70</v>
      </c>
      <c r="H38" s="2" t="s">
        <v>53</v>
      </c>
      <c r="I38" s="2" t="s">
        <v>38</v>
      </c>
      <c r="J38" s="2" t="s">
        <v>52</v>
      </c>
      <c r="K38" s="2" t="s">
        <v>37</v>
      </c>
      <c r="L38" s="2" t="s">
        <v>54</v>
      </c>
      <c r="M38" s="2" t="s">
        <v>42</v>
      </c>
      <c r="N38" s="2" t="s">
        <v>54</v>
      </c>
      <c r="O38" s="2" t="s">
        <v>54</v>
      </c>
      <c r="R38" s="2" t="s">
        <v>54</v>
      </c>
      <c r="S38" s="2" t="s">
        <v>42</v>
      </c>
      <c r="T38" s="2" t="s">
        <v>42</v>
      </c>
      <c r="U38" s="2" t="s">
        <v>42</v>
      </c>
      <c r="V38" s="2" t="s">
        <v>54</v>
      </c>
      <c r="W38" s="5">
        <v>5</v>
      </c>
      <c r="X38" s="5">
        <v>1</v>
      </c>
      <c r="Y38" s="5">
        <v>4</v>
      </c>
      <c r="Z38" s="9">
        <v>0.8</v>
      </c>
      <c r="AA38" s="7">
        <v>1750000</v>
      </c>
      <c r="AB38" s="7">
        <v>145833</v>
      </c>
      <c r="AC38" s="7">
        <v>994</v>
      </c>
      <c r="AD38" s="8">
        <v>3976</v>
      </c>
      <c r="AE38" s="8">
        <v>19880</v>
      </c>
      <c r="AF38" s="8">
        <v>79520</v>
      </c>
      <c r="AG38" s="8">
        <v>954240</v>
      </c>
      <c r="AH38" s="8">
        <v>1650</v>
      </c>
      <c r="AI38" s="10">
        <v>19800</v>
      </c>
      <c r="AJ38" s="2" t="s">
        <v>189</v>
      </c>
      <c r="AK38" s="2" t="s">
        <v>229</v>
      </c>
      <c r="AL38" s="2" t="s">
        <v>235</v>
      </c>
      <c r="AM38" s="2" t="s">
        <v>228</v>
      </c>
      <c r="AN38" s="2" t="s">
        <v>81</v>
      </c>
      <c r="AO38" s="2" t="s">
        <v>243</v>
      </c>
      <c r="AP38" s="2" t="s">
        <v>241</v>
      </c>
    </row>
    <row r="39" spans="1:45" s="2" customFormat="1" x14ac:dyDescent="0.3">
      <c r="A39" s="2" t="s">
        <v>27</v>
      </c>
      <c r="B39" s="2" t="s">
        <v>57</v>
      </c>
      <c r="C39" s="3" t="s">
        <v>47</v>
      </c>
      <c r="D39" s="2" t="s">
        <v>48</v>
      </c>
      <c r="E39" s="2" t="s">
        <v>32</v>
      </c>
      <c r="F39" s="2" t="s">
        <v>34</v>
      </c>
      <c r="G39" s="2" t="s">
        <v>70</v>
      </c>
      <c r="H39" s="2" t="s">
        <v>53</v>
      </c>
      <c r="I39" s="2" t="s">
        <v>38</v>
      </c>
      <c r="J39" s="2" t="s">
        <v>39</v>
      </c>
      <c r="K39" s="2" t="s">
        <v>37</v>
      </c>
      <c r="L39" s="2" t="s">
        <v>54</v>
      </c>
      <c r="M39" s="2" t="s">
        <v>42</v>
      </c>
      <c r="N39" s="2" t="s">
        <v>40</v>
      </c>
      <c r="O39" s="2" t="s">
        <v>54</v>
      </c>
      <c r="R39" s="2" t="s">
        <v>40</v>
      </c>
      <c r="S39" s="2" t="s">
        <v>40</v>
      </c>
      <c r="T39" s="2" t="s">
        <v>40</v>
      </c>
      <c r="U39" s="2" t="s">
        <v>40</v>
      </c>
      <c r="V39" s="2" t="s">
        <v>54</v>
      </c>
      <c r="W39" s="5">
        <v>5</v>
      </c>
      <c r="X39" s="5">
        <v>3</v>
      </c>
      <c r="Y39" s="5">
        <v>2</v>
      </c>
      <c r="Z39" s="9">
        <v>0.4</v>
      </c>
      <c r="AA39" s="7">
        <v>1250000</v>
      </c>
      <c r="AB39" s="7">
        <v>104167</v>
      </c>
      <c r="AC39" s="7">
        <v>710</v>
      </c>
      <c r="AD39" s="8">
        <v>1420</v>
      </c>
      <c r="AE39" s="8">
        <v>7100</v>
      </c>
      <c r="AF39" s="8">
        <v>28400</v>
      </c>
      <c r="AG39" s="8">
        <v>340800</v>
      </c>
      <c r="AH39" s="8">
        <v>1650</v>
      </c>
      <c r="AI39" s="10">
        <v>19800</v>
      </c>
      <c r="AJ39" s="2" t="s">
        <v>189</v>
      </c>
      <c r="AK39" s="2" t="s">
        <v>229</v>
      </c>
      <c r="AL39" s="2" t="s">
        <v>228</v>
      </c>
      <c r="AN39" s="2" t="s">
        <v>81</v>
      </c>
      <c r="AO39" s="2" t="s">
        <v>243</v>
      </c>
      <c r="AP39" s="2" t="s">
        <v>241</v>
      </c>
    </row>
    <row r="40" spans="1:45" s="2" customFormat="1" x14ac:dyDescent="0.3">
      <c r="A40" s="2" t="s">
        <v>44</v>
      </c>
      <c r="B40" s="2" t="s">
        <v>73</v>
      </c>
      <c r="C40" s="2" t="s">
        <v>30</v>
      </c>
      <c r="D40" s="2" t="s">
        <v>48</v>
      </c>
      <c r="E40" s="2" t="s">
        <v>32</v>
      </c>
      <c r="F40" s="2" t="s">
        <v>69</v>
      </c>
      <c r="G40" s="2" t="s">
        <v>35</v>
      </c>
      <c r="H40" s="2" t="s">
        <v>65</v>
      </c>
      <c r="I40" s="2" t="s">
        <v>52</v>
      </c>
      <c r="J40" s="2" t="s">
        <v>52</v>
      </c>
      <c r="K40" s="2" t="s">
        <v>112</v>
      </c>
      <c r="L40" s="2" t="s">
        <v>40</v>
      </c>
      <c r="M40" s="2" t="s">
        <v>40</v>
      </c>
      <c r="N40" s="2" t="s">
        <v>40</v>
      </c>
      <c r="O40" s="2" t="s">
        <v>40</v>
      </c>
      <c r="R40" s="2" t="s">
        <v>40</v>
      </c>
      <c r="S40" s="2" t="s">
        <v>40</v>
      </c>
      <c r="T40" s="2" t="s">
        <v>40</v>
      </c>
      <c r="U40" s="2" t="s">
        <v>40</v>
      </c>
      <c r="V40" s="2" t="s">
        <v>40</v>
      </c>
      <c r="W40" s="5">
        <v>1</v>
      </c>
      <c r="X40" s="5">
        <v>1</v>
      </c>
      <c r="Y40" s="5">
        <v>0</v>
      </c>
      <c r="Z40" s="9">
        <v>0</v>
      </c>
      <c r="AA40" s="7">
        <v>500000</v>
      </c>
      <c r="AB40" s="7">
        <v>41667</v>
      </c>
      <c r="AC40" s="7">
        <v>284</v>
      </c>
      <c r="AD40" s="8">
        <v>0</v>
      </c>
      <c r="AE40" s="8">
        <v>0</v>
      </c>
      <c r="AF40" s="8">
        <v>0</v>
      </c>
      <c r="AG40" s="8">
        <v>0</v>
      </c>
      <c r="AH40" s="8">
        <v>1650</v>
      </c>
      <c r="AI40" s="10">
        <v>19800</v>
      </c>
      <c r="AJ40" s="2" t="s">
        <v>189</v>
      </c>
      <c r="AN40" s="2" t="s">
        <v>190</v>
      </c>
    </row>
    <row r="41" spans="1:45" s="2" customFormat="1" x14ac:dyDescent="0.3">
      <c r="A41" s="2" t="s">
        <v>44</v>
      </c>
      <c r="B41" s="2" t="s">
        <v>227</v>
      </c>
      <c r="C41" s="3" t="s">
        <v>47</v>
      </c>
      <c r="D41" s="2" t="s">
        <v>48</v>
      </c>
      <c r="E41" s="2" t="s">
        <v>32</v>
      </c>
      <c r="F41" s="2" t="s">
        <v>50</v>
      </c>
      <c r="G41" s="2" t="s">
        <v>70</v>
      </c>
      <c r="H41" s="2" t="s">
        <v>37</v>
      </c>
      <c r="I41" s="2" t="s">
        <v>39</v>
      </c>
      <c r="J41" s="2" t="s">
        <v>52</v>
      </c>
      <c r="K41" s="2" t="s">
        <v>53</v>
      </c>
      <c r="L41" s="2" t="s">
        <v>40</v>
      </c>
      <c r="M41" s="2" t="s">
        <v>41</v>
      </c>
      <c r="N41" s="2" t="s">
        <v>40</v>
      </c>
      <c r="O41" s="2" t="s">
        <v>40</v>
      </c>
      <c r="R41" s="2" t="s">
        <v>40</v>
      </c>
      <c r="S41" s="2" t="s">
        <v>40</v>
      </c>
      <c r="T41" s="2" t="s">
        <v>40</v>
      </c>
      <c r="U41" s="2" t="s">
        <v>40</v>
      </c>
      <c r="V41" s="2" t="s">
        <v>40</v>
      </c>
      <c r="W41" s="5">
        <v>3</v>
      </c>
      <c r="X41" s="5">
        <v>1</v>
      </c>
      <c r="Y41" s="5">
        <v>2</v>
      </c>
      <c r="Z41" s="9">
        <v>0.66666666666666663</v>
      </c>
      <c r="AA41" s="7">
        <v>1000000</v>
      </c>
      <c r="AB41" s="7">
        <v>83333</v>
      </c>
      <c r="AC41" s="7">
        <v>568</v>
      </c>
      <c r="AD41" s="8">
        <v>1136</v>
      </c>
      <c r="AE41" s="8">
        <v>5680</v>
      </c>
      <c r="AF41" s="8">
        <v>22720</v>
      </c>
      <c r="AG41" s="8">
        <v>272640</v>
      </c>
      <c r="AH41" s="8">
        <v>1650</v>
      </c>
      <c r="AI41" s="10">
        <v>19800</v>
      </c>
      <c r="AJ41" s="2" t="s">
        <v>232</v>
      </c>
      <c r="AK41" s="2" t="s">
        <v>228</v>
      </c>
      <c r="AL41" s="2" t="s">
        <v>234</v>
      </c>
      <c r="AN41" s="2" t="s">
        <v>160</v>
      </c>
      <c r="AO41" s="2" t="s">
        <v>227</v>
      </c>
    </row>
    <row r="42" spans="1:45" s="2" customFormat="1" x14ac:dyDescent="0.3">
      <c r="A42" s="2" t="s">
        <v>44</v>
      </c>
      <c r="B42" s="2" t="s">
        <v>62</v>
      </c>
      <c r="C42" s="2" t="s">
        <v>63</v>
      </c>
      <c r="D42" s="2" t="s">
        <v>48</v>
      </c>
      <c r="E42" s="2" t="s">
        <v>32</v>
      </c>
      <c r="F42" s="2" t="s">
        <v>50</v>
      </c>
      <c r="G42" s="2" t="s">
        <v>35</v>
      </c>
      <c r="H42" s="2" t="s">
        <v>84</v>
      </c>
      <c r="I42" s="2" t="s">
        <v>39</v>
      </c>
      <c r="J42" s="2" t="s">
        <v>52</v>
      </c>
      <c r="K42" s="2" t="s">
        <v>37</v>
      </c>
      <c r="L42" s="2" t="s">
        <v>40</v>
      </c>
      <c r="M42" s="2" t="s">
        <v>40</v>
      </c>
      <c r="N42" s="2" t="s">
        <v>40</v>
      </c>
      <c r="O42" s="2" t="s">
        <v>40</v>
      </c>
      <c r="R42" s="2" t="s">
        <v>40</v>
      </c>
      <c r="S42" s="2" t="s">
        <v>41</v>
      </c>
      <c r="T42" s="2" t="s">
        <v>40</v>
      </c>
      <c r="U42" s="2" t="s">
        <v>40</v>
      </c>
      <c r="V42" s="2" t="s">
        <v>40</v>
      </c>
      <c r="W42" s="5">
        <v>3</v>
      </c>
      <c r="X42" s="5">
        <v>1</v>
      </c>
      <c r="Y42" s="5">
        <v>2</v>
      </c>
      <c r="Z42" s="9">
        <v>0.66666666666666663</v>
      </c>
      <c r="AA42" s="7">
        <v>4000000</v>
      </c>
      <c r="AB42" s="7">
        <v>333333</v>
      </c>
      <c r="AC42" s="7">
        <v>2273</v>
      </c>
      <c r="AD42" s="8">
        <v>4546</v>
      </c>
      <c r="AE42" s="8">
        <v>22730</v>
      </c>
      <c r="AF42" s="8">
        <v>90920</v>
      </c>
      <c r="AG42" s="8">
        <v>1091040</v>
      </c>
      <c r="AH42" s="8">
        <v>1650</v>
      </c>
      <c r="AI42" s="10">
        <v>19800</v>
      </c>
      <c r="AJ42" s="2" t="s">
        <v>189</v>
      </c>
      <c r="AK42" s="2" t="s">
        <v>235</v>
      </c>
      <c r="AN42" s="2" t="s">
        <v>81</v>
      </c>
      <c r="AO42" s="2" t="s">
        <v>243</v>
      </c>
      <c r="AP42" s="2" t="s">
        <v>241</v>
      </c>
    </row>
    <row r="43" spans="1:45" s="2" customFormat="1" x14ac:dyDescent="0.3">
      <c r="A43" s="2" t="s">
        <v>27</v>
      </c>
      <c r="B43" s="2" t="s">
        <v>46</v>
      </c>
      <c r="C43" s="4" t="s">
        <v>67</v>
      </c>
      <c r="D43" s="2" t="s">
        <v>31</v>
      </c>
      <c r="E43" s="2" t="s">
        <v>32</v>
      </c>
      <c r="F43" s="2" t="s">
        <v>50</v>
      </c>
      <c r="G43" s="2" t="s">
        <v>35</v>
      </c>
      <c r="H43" s="2" t="s">
        <v>53</v>
      </c>
      <c r="I43" s="2" t="s">
        <v>38</v>
      </c>
      <c r="J43" s="2" t="s">
        <v>39</v>
      </c>
      <c r="K43" s="2" t="s">
        <v>53</v>
      </c>
      <c r="L43" s="2" t="s">
        <v>41</v>
      </c>
      <c r="M43" s="2" t="s">
        <v>41</v>
      </c>
      <c r="N43" s="2" t="s">
        <v>40</v>
      </c>
      <c r="O43" s="2" t="s">
        <v>40</v>
      </c>
      <c r="R43" s="2" t="s">
        <v>41</v>
      </c>
      <c r="S43" s="2" t="s">
        <v>41</v>
      </c>
      <c r="T43" s="2" t="s">
        <v>41</v>
      </c>
      <c r="U43" s="2" t="s">
        <v>40</v>
      </c>
      <c r="V43" s="2" t="s">
        <v>40</v>
      </c>
      <c r="W43" s="5">
        <v>5</v>
      </c>
      <c r="X43" s="5">
        <v>3</v>
      </c>
      <c r="Y43" s="5">
        <v>2</v>
      </c>
      <c r="Z43" s="9">
        <v>0.4</v>
      </c>
      <c r="AA43" s="7">
        <v>1750000</v>
      </c>
      <c r="AB43" s="7">
        <v>145833</v>
      </c>
      <c r="AC43" s="7">
        <v>994</v>
      </c>
      <c r="AD43" s="8">
        <v>1988</v>
      </c>
      <c r="AE43" s="8">
        <v>9940</v>
      </c>
      <c r="AF43" s="8">
        <v>39760</v>
      </c>
      <c r="AG43" s="8">
        <v>477120</v>
      </c>
      <c r="AH43" s="8">
        <v>1650</v>
      </c>
      <c r="AI43" s="10">
        <v>19800</v>
      </c>
      <c r="AJ43" s="2" t="s">
        <v>189</v>
      </c>
      <c r="AK43" s="2" t="s">
        <v>235</v>
      </c>
      <c r="AL43" s="2" t="s">
        <v>228</v>
      </c>
      <c r="AN43" s="2" t="s">
        <v>81</v>
      </c>
      <c r="AO43" s="2" t="s">
        <v>243</v>
      </c>
      <c r="AP43" s="2" t="s">
        <v>241</v>
      </c>
    </row>
    <row r="44" spans="1:45" s="2" customFormat="1" x14ac:dyDescent="0.3">
      <c r="A44" s="2" t="s">
        <v>44</v>
      </c>
      <c r="B44" s="2" t="s">
        <v>62</v>
      </c>
      <c r="C44" s="2" t="s">
        <v>63</v>
      </c>
      <c r="D44" s="2" t="s">
        <v>48</v>
      </c>
      <c r="E44" s="2" t="s">
        <v>32</v>
      </c>
      <c r="F44" s="5" t="s">
        <v>90</v>
      </c>
      <c r="G44" s="2" t="s">
        <v>70</v>
      </c>
      <c r="H44" s="2" t="s">
        <v>65</v>
      </c>
      <c r="I44" s="2" t="s">
        <v>38</v>
      </c>
      <c r="J44" s="2" t="s">
        <v>39</v>
      </c>
      <c r="K44" s="2" t="s">
        <v>53</v>
      </c>
      <c r="L44" s="2" t="s">
        <v>40</v>
      </c>
      <c r="M44" s="2" t="s">
        <v>40</v>
      </c>
      <c r="N44" s="2" t="s">
        <v>40</v>
      </c>
      <c r="O44" s="2" t="s">
        <v>40</v>
      </c>
      <c r="R44" s="2" t="s">
        <v>40</v>
      </c>
      <c r="S44" s="2" t="s">
        <v>40</v>
      </c>
      <c r="T44" s="2" t="s">
        <v>40</v>
      </c>
      <c r="U44" s="2" t="s">
        <v>40</v>
      </c>
      <c r="V44" s="2" t="s">
        <v>40</v>
      </c>
      <c r="W44" s="5">
        <v>5</v>
      </c>
      <c r="X44" s="5">
        <v>3</v>
      </c>
      <c r="Y44" s="5">
        <v>2</v>
      </c>
      <c r="Z44" s="9">
        <v>0.4</v>
      </c>
      <c r="AA44" s="7">
        <v>4000000</v>
      </c>
      <c r="AB44" s="7">
        <v>333333</v>
      </c>
      <c r="AC44" s="7">
        <v>2273</v>
      </c>
      <c r="AD44" s="8">
        <v>4546</v>
      </c>
      <c r="AE44" s="8">
        <v>22730</v>
      </c>
      <c r="AF44" s="8">
        <v>90920</v>
      </c>
      <c r="AG44" s="8">
        <v>1091040</v>
      </c>
      <c r="AH44" s="8">
        <v>1650</v>
      </c>
      <c r="AI44" s="10">
        <v>19800</v>
      </c>
      <c r="AJ44" s="2" t="s">
        <v>189</v>
      </c>
      <c r="AK44" s="2" t="s">
        <v>235</v>
      </c>
      <c r="AL44" s="2" t="s">
        <v>228</v>
      </c>
      <c r="AN44" s="2" t="s">
        <v>81</v>
      </c>
      <c r="AO44" s="2" t="s">
        <v>244</v>
      </c>
    </row>
    <row r="45" spans="1:45" s="2" customFormat="1" x14ac:dyDescent="0.3">
      <c r="A45" s="2" t="s">
        <v>27</v>
      </c>
      <c r="B45" s="2" t="s">
        <v>108</v>
      </c>
      <c r="C45" s="2" t="s">
        <v>30</v>
      </c>
      <c r="D45" s="2" t="s">
        <v>48</v>
      </c>
      <c r="E45" s="2" t="s">
        <v>98</v>
      </c>
      <c r="F45" s="2" t="s">
        <v>252</v>
      </c>
      <c r="G45" s="2" t="s">
        <v>252</v>
      </c>
      <c r="H45" s="2" t="s">
        <v>252</v>
      </c>
      <c r="I45" s="2" t="s">
        <v>252</v>
      </c>
      <c r="J45" s="2" t="s">
        <v>252</v>
      </c>
      <c r="K45" s="2" t="s">
        <v>252</v>
      </c>
      <c r="L45" s="2" t="s">
        <v>252</v>
      </c>
      <c r="M45" s="2" t="s">
        <v>252</v>
      </c>
      <c r="N45" s="2" t="s">
        <v>252</v>
      </c>
      <c r="O45" s="2" t="s">
        <v>252</v>
      </c>
      <c r="P45" s="2" t="s">
        <v>201</v>
      </c>
      <c r="Q45" s="2" t="s">
        <v>54</v>
      </c>
      <c r="R45" s="2" t="s">
        <v>54</v>
      </c>
      <c r="S45" s="2" t="s">
        <v>42</v>
      </c>
      <c r="T45" s="2" t="s">
        <v>42</v>
      </c>
      <c r="U45" s="2" t="s">
        <v>42</v>
      </c>
      <c r="V45" s="2" t="s">
        <v>54</v>
      </c>
      <c r="W45" s="5">
        <v>0</v>
      </c>
      <c r="X45" s="5">
        <v>0</v>
      </c>
      <c r="Y45" s="5">
        <v>0</v>
      </c>
      <c r="Z45" s="9">
        <v>0</v>
      </c>
      <c r="AA45" s="7">
        <v>400000</v>
      </c>
      <c r="AB45" s="7">
        <v>33333</v>
      </c>
      <c r="AC45" s="7">
        <v>227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2" t="s">
        <v>252</v>
      </c>
      <c r="AK45" s="2" t="s">
        <v>252</v>
      </c>
      <c r="AL45" s="2" t="s">
        <v>252</v>
      </c>
      <c r="AM45" s="2" t="s">
        <v>252</v>
      </c>
      <c r="AN45" s="2" t="s">
        <v>252</v>
      </c>
      <c r="AO45" s="2" t="s">
        <v>252</v>
      </c>
      <c r="AP45" s="2" t="s">
        <v>252</v>
      </c>
      <c r="AQ45" s="2" t="s">
        <v>252</v>
      </c>
      <c r="AR45" s="2" t="s">
        <v>252</v>
      </c>
      <c r="AS45" s="2" t="s">
        <v>252</v>
      </c>
    </row>
    <row r="46" spans="1:45" s="2" customFormat="1" x14ac:dyDescent="0.3">
      <c r="A46" s="2" t="s">
        <v>44</v>
      </c>
      <c r="B46" s="2" t="s">
        <v>62</v>
      </c>
      <c r="C46" s="2" t="s">
        <v>63</v>
      </c>
      <c r="D46" s="2" t="s">
        <v>48</v>
      </c>
      <c r="E46" s="2" t="s">
        <v>32</v>
      </c>
      <c r="F46" s="2" t="s">
        <v>34</v>
      </c>
      <c r="G46" s="2" t="s">
        <v>35</v>
      </c>
      <c r="H46" s="2" t="s">
        <v>37</v>
      </c>
      <c r="I46" s="2" t="s">
        <v>39</v>
      </c>
      <c r="J46" s="2" t="s">
        <v>52</v>
      </c>
      <c r="K46" s="2" t="s">
        <v>37</v>
      </c>
      <c r="L46" s="2" t="s">
        <v>40</v>
      </c>
      <c r="M46" s="2" t="s">
        <v>40</v>
      </c>
      <c r="N46" s="2" t="s">
        <v>40</v>
      </c>
      <c r="O46" s="2" t="s">
        <v>40</v>
      </c>
      <c r="R46" s="2" t="s">
        <v>40</v>
      </c>
      <c r="S46" s="2" t="s">
        <v>40</v>
      </c>
      <c r="T46" s="2" t="s">
        <v>40</v>
      </c>
      <c r="U46" s="2" t="s">
        <v>40</v>
      </c>
      <c r="V46" s="2" t="s">
        <v>77</v>
      </c>
      <c r="W46" s="5">
        <v>3</v>
      </c>
      <c r="X46" s="5">
        <v>1</v>
      </c>
      <c r="Y46" s="5">
        <v>2</v>
      </c>
      <c r="Z46" s="9">
        <v>0.66666666666666663</v>
      </c>
      <c r="AA46" s="7">
        <v>4000000</v>
      </c>
      <c r="AB46" s="7">
        <v>333333</v>
      </c>
      <c r="AC46" s="7">
        <v>2273</v>
      </c>
      <c r="AD46" s="8">
        <v>4546</v>
      </c>
      <c r="AE46" s="8">
        <v>22730</v>
      </c>
      <c r="AF46" s="8">
        <v>90920</v>
      </c>
      <c r="AG46" s="8">
        <v>1091040</v>
      </c>
      <c r="AH46" s="8">
        <v>1650</v>
      </c>
      <c r="AI46" s="10">
        <v>19800</v>
      </c>
      <c r="AJ46" s="2" t="s">
        <v>189</v>
      </c>
      <c r="AK46" s="2" t="s">
        <v>229</v>
      </c>
      <c r="AL46" s="2" t="s">
        <v>235</v>
      </c>
      <c r="AN46" s="2" t="s">
        <v>240</v>
      </c>
      <c r="AO46" s="2" t="s">
        <v>241</v>
      </c>
    </row>
    <row r="47" spans="1:45" s="2" customFormat="1" x14ac:dyDescent="0.3">
      <c r="A47" s="2" t="s">
        <v>44</v>
      </c>
      <c r="B47" s="2" t="s">
        <v>108</v>
      </c>
      <c r="C47" s="4" t="s">
        <v>67</v>
      </c>
      <c r="D47" s="2" t="s">
        <v>205</v>
      </c>
      <c r="E47" s="2" t="s">
        <v>32</v>
      </c>
      <c r="F47" s="2" t="s">
        <v>69</v>
      </c>
      <c r="G47" s="2" t="s">
        <v>35</v>
      </c>
      <c r="H47" s="2" t="s">
        <v>53</v>
      </c>
      <c r="I47" s="2" t="s">
        <v>124</v>
      </c>
      <c r="J47" s="2" t="s">
        <v>39</v>
      </c>
      <c r="K47" s="2" t="s">
        <v>37</v>
      </c>
      <c r="L47" s="2" t="s">
        <v>54</v>
      </c>
      <c r="M47" s="2" t="s">
        <v>42</v>
      </c>
      <c r="N47" s="2" t="s">
        <v>54</v>
      </c>
      <c r="O47" s="2" t="s">
        <v>54</v>
      </c>
      <c r="R47" s="2" t="s">
        <v>54</v>
      </c>
      <c r="S47" s="2" t="s">
        <v>42</v>
      </c>
      <c r="T47" s="2" t="s">
        <v>42</v>
      </c>
      <c r="U47" s="2" t="s">
        <v>42</v>
      </c>
      <c r="V47" s="2" t="s">
        <v>77</v>
      </c>
      <c r="W47" s="5">
        <v>9</v>
      </c>
      <c r="X47" s="5">
        <v>3</v>
      </c>
      <c r="Y47" s="5">
        <v>6</v>
      </c>
      <c r="Z47" s="9">
        <v>0.66666666666666663</v>
      </c>
      <c r="AA47" s="7">
        <v>1500000</v>
      </c>
      <c r="AB47" s="7">
        <v>125000</v>
      </c>
      <c r="AC47" s="7">
        <v>852</v>
      </c>
      <c r="AD47" s="8">
        <v>5112</v>
      </c>
      <c r="AE47" s="8">
        <v>25560</v>
      </c>
      <c r="AF47" s="8">
        <v>102240</v>
      </c>
      <c r="AG47" s="8">
        <v>1226880</v>
      </c>
      <c r="AH47" s="8">
        <v>1650</v>
      </c>
      <c r="AI47" s="10">
        <v>19800</v>
      </c>
      <c r="AJ47" s="2" t="s">
        <v>189</v>
      </c>
      <c r="AK47" s="2" t="s">
        <v>231</v>
      </c>
      <c r="AN47" s="2" t="s">
        <v>190</v>
      </c>
      <c r="AO47" s="2" t="s">
        <v>244</v>
      </c>
      <c r="AP47" s="2" t="s">
        <v>241</v>
      </c>
    </row>
    <row r="48" spans="1:45" s="2" customFormat="1" x14ac:dyDescent="0.3">
      <c r="A48" s="2" t="s">
        <v>27</v>
      </c>
      <c r="B48" s="2" t="s">
        <v>73</v>
      </c>
      <c r="C48" s="3" t="s">
        <v>47</v>
      </c>
      <c r="D48" s="2" t="s">
        <v>48</v>
      </c>
      <c r="E48" s="2" t="s">
        <v>32</v>
      </c>
      <c r="F48" s="2" t="s">
        <v>69</v>
      </c>
      <c r="G48" s="2" t="s">
        <v>35</v>
      </c>
      <c r="H48" s="2" t="s">
        <v>65</v>
      </c>
      <c r="I48" s="2" t="s">
        <v>52</v>
      </c>
      <c r="J48" s="2" t="s">
        <v>52</v>
      </c>
      <c r="K48" s="2" t="s">
        <v>37</v>
      </c>
      <c r="L48" s="2" t="s">
        <v>54</v>
      </c>
      <c r="M48" s="2" t="s">
        <v>42</v>
      </c>
      <c r="N48" s="2" t="s">
        <v>54</v>
      </c>
      <c r="O48" s="2" t="s">
        <v>54</v>
      </c>
      <c r="R48" s="2" t="s">
        <v>54</v>
      </c>
      <c r="S48" s="2" t="s">
        <v>42</v>
      </c>
      <c r="T48" s="2" t="s">
        <v>40</v>
      </c>
      <c r="U48" s="2" t="s">
        <v>40</v>
      </c>
      <c r="V48" s="2" t="s">
        <v>40</v>
      </c>
      <c r="W48" s="5">
        <v>1</v>
      </c>
      <c r="X48" s="5">
        <v>1</v>
      </c>
      <c r="Y48" s="5">
        <v>0</v>
      </c>
      <c r="Z48" s="9">
        <v>0</v>
      </c>
      <c r="AA48" s="7">
        <v>1150000</v>
      </c>
      <c r="AB48" s="7">
        <v>95833</v>
      </c>
      <c r="AC48" s="7">
        <v>653</v>
      </c>
      <c r="AD48" s="8">
        <v>0</v>
      </c>
      <c r="AE48" s="8">
        <v>0</v>
      </c>
      <c r="AF48" s="8">
        <v>0</v>
      </c>
      <c r="AG48" s="8">
        <v>0</v>
      </c>
      <c r="AH48" s="8">
        <v>1650</v>
      </c>
      <c r="AI48" s="10">
        <v>19800</v>
      </c>
      <c r="AJ48" s="2" t="s">
        <v>189</v>
      </c>
      <c r="AK48" s="2" t="s">
        <v>229</v>
      </c>
      <c r="AN48" s="2" t="s">
        <v>190</v>
      </c>
      <c r="AO48" s="2" t="s">
        <v>244</v>
      </c>
    </row>
    <row r="49" spans="1:46" s="2" customFormat="1" x14ac:dyDescent="0.3">
      <c r="A49" s="2" t="s">
        <v>44</v>
      </c>
      <c r="B49" s="2" t="s">
        <v>73</v>
      </c>
      <c r="C49" s="2" t="s">
        <v>30</v>
      </c>
      <c r="D49" s="2" t="s">
        <v>48</v>
      </c>
      <c r="E49" s="2" t="s">
        <v>98</v>
      </c>
      <c r="F49" s="2" t="s">
        <v>252</v>
      </c>
      <c r="G49" s="2" t="s">
        <v>252</v>
      </c>
      <c r="H49" s="2" t="s">
        <v>252</v>
      </c>
      <c r="I49" s="2" t="s">
        <v>252</v>
      </c>
      <c r="J49" s="2" t="s">
        <v>252</v>
      </c>
      <c r="K49" s="2" t="s">
        <v>252</v>
      </c>
      <c r="L49" s="2" t="s">
        <v>252</v>
      </c>
      <c r="M49" s="2" t="s">
        <v>252</v>
      </c>
      <c r="N49" s="2" t="s">
        <v>252</v>
      </c>
      <c r="O49" s="2" t="s">
        <v>252</v>
      </c>
      <c r="P49" s="2" t="s">
        <v>211</v>
      </c>
      <c r="Q49" s="2" t="s">
        <v>54</v>
      </c>
      <c r="R49" s="2" t="s">
        <v>54</v>
      </c>
      <c r="S49" s="2" t="s">
        <v>42</v>
      </c>
      <c r="T49" s="2" t="s">
        <v>42</v>
      </c>
      <c r="U49" s="2" t="s">
        <v>42</v>
      </c>
      <c r="V49" s="2" t="s">
        <v>54</v>
      </c>
      <c r="W49" s="5">
        <v>0</v>
      </c>
      <c r="X49" s="5">
        <v>0</v>
      </c>
      <c r="Y49" s="5">
        <v>0</v>
      </c>
      <c r="Z49" s="9">
        <v>0</v>
      </c>
      <c r="AA49" s="7">
        <v>500000</v>
      </c>
      <c r="AB49" s="7">
        <v>41667</v>
      </c>
      <c r="AC49" s="7">
        <v>284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2" t="s">
        <v>252</v>
      </c>
      <c r="AK49" s="2" t="s">
        <v>252</v>
      </c>
      <c r="AL49" s="2" t="s">
        <v>252</v>
      </c>
      <c r="AM49" s="2" t="s">
        <v>252</v>
      </c>
      <c r="AN49" s="2" t="s">
        <v>252</v>
      </c>
      <c r="AO49" s="2" t="s">
        <v>252</v>
      </c>
      <c r="AP49" s="2" t="s">
        <v>252</v>
      </c>
      <c r="AQ49" s="2" t="s">
        <v>252</v>
      </c>
      <c r="AR49" s="2" t="s">
        <v>252</v>
      </c>
      <c r="AS49" s="2" t="s">
        <v>252</v>
      </c>
    </row>
    <row r="50" spans="1:46" s="2" customFormat="1" x14ac:dyDescent="0.3">
      <c r="A50" s="2" t="s">
        <v>27</v>
      </c>
      <c r="B50" s="2" t="s">
        <v>73</v>
      </c>
      <c r="C50" s="3" t="s">
        <v>47</v>
      </c>
      <c r="D50" s="2" t="s">
        <v>48</v>
      </c>
      <c r="E50" s="2" t="s">
        <v>32</v>
      </c>
      <c r="F50" s="2" t="s">
        <v>69</v>
      </c>
      <c r="G50" s="2" t="s">
        <v>35</v>
      </c>
      <c r="H50" s="2" t="s">
        <v>53</v>
      </c>
      <c r="I50" s="2" t="s">
        <v>39</v>
      </c>
      <c r="J50" s="2" t="s">
        <v>52</v>
      </c>
      <c r="K50" s="2" t="s">
        <v>53</v>
      </c>
      <c r="L50" s="2" t="s">
        <v>54</v>
      </c>
      <c r="M50" s="2" t="s">
        <v>42</v>
      </c>
      <c r="N50" s="2" t="s">
        <v>54</v>
      </c>
      <c r="O50" s="2" t="s">
        <v>54</v>
      </c>
      <c r="R50" s="2" t="s">
        <v>54</v>
      </c>
      <c r="S50" s="2" t="s">
        <v>42</v>
      </c>
      <c r="T50" s="2" t="s">
        <v>42</v>
      </c>
      <c r="U50" s="2" t="s">
        <v>42</v>
      </c>
      <c r="V50" s="2" t="s">
        <v>54</v>
      </c>
      <c r="W50" s="5">
        <v>3</v>
      </c>
      <c r="X50" s="5">
        <v>1</v>
      </c>
      <c r="Y50" s="5">
        <v>2</v>
      </c>
      <c r="Z50" s="9">
        <v>0.66666666666666663</v>
      </c>
      <c r="AA50" s="7">
        <v>1150000</v>
      </c>
      <c r="AB50" s="7">
        <v>95833</v>
      </c>
      <c r="AC50" s="7">
        <v>653</v>
      </c>
      <c r="AD50" s="8">
        <v>1306</v>
      </c>
      <c r="AE50" s="8">
        <v>6530</v>
      </c>
      <c r="AF50" s="8">
        <v>26120</v>
      </c>
      <c r="AG50" s="8">
        <v>313440</v>
      </c>
      <c r="AH50" s="8">
        <v>1650</v>
      </c>
      <c r="AI50" s="10">
        <v>19800</v>
      </c>
      <c r="AJ50" s="2" t="s">
        <v>189</v>
      </c>
      <c r="AK50" s="2" t="s">
        <v>229</v>
      </c>
      <c r="AN50" s="2" t="s">
        <v>190</v>
      </c>
      <c r="AO50" s="2" t="s">
        <v>241</v>
      </c>
    </row>
    <row r="51" spans="1:46" s="2" customFormat="1" x14ac:dyDescent="0.3">
      <c r="A51" s="2" t="s">
        <v>27</v>
      </c>
      <c r="B51" s="2" t="s">
        <v>73</v>
      </c>
      <c r="C51" s="3" t="s">
        <v>47</v>
      </c>
      <c r="D51" s="2" t="s">
        <v>48</v>
      </c>
      <c r="E51" s="2" t="s">
        <v>32</v>
      </c>
      <c r="F51" s="2" t="s">
        <v>34</v>
      </c>
      <c r="G51" s="2" t="s">
        <v>35</v>
      </c>
      <c r="H51" s="2" t="s">
        <v>84</v>
      </c>
      <c r="I51" s="2" t="s">
        <v>124</v>
      </c>
      <c r="J51" s="2" t="s">
        <v>39</v>
      </c>
      <c r="K51" s="2" t="s">
        <v>85</v>
      </c>
      <c r="L51" s="2" t="s">
        <v>40</v>
      </c>
      <c r="M51" s="2" t="s">
        <v>40</v>
      </c>
      <c r="N51" s="2" t="s">
        <v>40</v>
      </c>
      <c r="O51" s="2" t="s">
        <v>40</v>
      </c>
      <c r="R51" s="2" t="s">
        <v>40</v>
      </c>
      <c r="S51" s="2" t="s">
        <v>40</v>
      </c>
      <c r="T51" s="2" t="s">
        <v>40</v>
      </c>
      <c r="U51" s="2" t="s">
        <v>40</v>
      </c>
      <c r="V51" s="2" t="s">
        <v>40</v>
      </c>
      <c r="W51" s="5">
        <v>9</v>
      </c>
      <c r="X51" s="5">
        <v>3</v>
      </c>
      <c r="Y51" s="5">
        <v>6</v>
      </c>
      <c r="Z51" s="9">
        <v>0.66666666666666663</v>
      </c>
      <c r="AA51" s="7">
        <v>1150000</v>
      </c>
      <c r="AB51" s="7">
        <v>95833</v>
      </c>
      <c r="AC51" s="7">
        <v>653</v>
      </c>
      <c r="AD51" s="8">
        <v>3918</v>
      </c>
      <c r="AE51" s="8">
        <v>19590</v>
      </c>
      <c r="AF51" s="8">
        <v>78360</v>
      </c>
      <c r="AG51" s="8">
        <v>940320</v>
      </c>
      <c r="AH51" s="8">
        <v>1650</v>
      </c>
      <c r="AI51" s="10">
        <v>19800</v>
      </c>
      <c r="AJ51" s="2" t="s">
        <v>83</v>
      </c>
      <c r="AN51" s="2" t="s">
        <v>190</v>
      </c>
    </row>
    <row r="52" spans="1:46" x14ac:dyDescent="0.3">
      <c r="G52" s="2"/>
      <c r="H52" s="2"/>
      <c r="I52" s="2"/>
      <c r="J52" s="2"/>
      <c r="K52" s="2"/>
      <c r="AT5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F5D5-9294-4891-A925-9BC536618C00}">
  <dimension ref="A1:U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.44140625" style="5" bestFit="1" customWidth="1"/>
    <col min="2" max="2" width="8.88671875" style="5"/>
    <col min="3" max="3" width="16" style="5" customWidth="1"/>
    <col min="4" max="4" width="14" style="5" customWidth="1"/>
    <col min="5" max="6" width="10.77734375" style="5" customWidth="1"/>
    <col min="7" max="7" width="7.6640625" style="5" customWidth="1"/>
    <col min="8" max="10" width="10.44140625" style="5" customWidth="1"/>
    <col min="11" max="11" width="12" style="8" bestFit="1" customWidth="1"/>
    <col min="12" max="12" width="13.33203125" style="8" bestFit="1" customWidth="1"/>
    <col min="13" max="13" width="15.88671875" style="8" bestFit="1" customWidth="1"/>
    <col min="14" max="14" width="12.109375" style="5" bestFit="1" customWidth="1"/>
    <col min="15" max="15" width="14.44140625" style="5" bestFit="1" customWidth="1"/>
    <col min="16" max="16" width="14.21875" style="5" bestFit="1" customWidth="1"/>
    <col min="17" max="18" width="16.44140625" style="5" bestFit="1" customWidth="1"/>
    <col min="19" max="19" width="15.5546875" style="5" bestFit="1" customWidth="1"/>
    <col min="20" max="20" width="12" bestFit="1" customWidth="1"/>
  </cols>
  <sheetData>
    <row r="1" spans="1:20" ht="15.6" x14ac:dyDescent="0.3">
      <c r="A1" s="1" t="s">
        <v>3</v>
      </c>
      <c r="B1" s="1" t="s">
        <v>4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12</v>
      </c>
      <c r="H1" s="1" t="s">
        <v>13</v>
      </c>
      <c r="I1" s="1" t="s">
        <v>219</v>
      </c>
      <c r="J1" s="1" t="s">
        <v>220</v>
      </c>
      <c r="K1" s="6" t="s">
        <v>218</v>
      </c>
      <c r="L1" s="6" t="s">
        <v>216</v>
      </c>
      <c r="M1" s="6" t="s">
        <v>217</v>
      </c>
      <c r="N1" s="6" t="s">
        <v>221</v>
      </c>
      <c r="O1" s="6" t="s">
        <v>223</v>
      </c>
      <c r="P1" s="6" t="s">
        <v>222</v>
      </c>
      <c r="Q1" s="6" t="s">
        <v>224</v>
      </c>
      <c r="R1" s="1" t="s">
        <v>225</v>
      </c>
      <c r="S1" s="1" t="s">
        <v>226</v>
      </c>
      <c r="T1" s="12" t="s">
        <v>253</v>
      </c>
    </row>
    <row r="2" spans="1:20" x14ac:dyDescent="0.3">
      <c r="A2" s="2" t="s">
        <v>227</v>
      </c>
      <c r="B2" s="2" t="s">
        <v>30</v>
      </c>
      <c r="C2" s="2" t="s">
        <v>189</v>
      </c>
      <c r="D2" s="2" t="s">
        <v>235</v>
      </c>
      <c r="E2" s="2" t="s">
        <v>228</v>
      </c>
      <c r="F2" s="2"/>
      <c r="G2" s="5">
        <v>5</v>
      </c>
      <c r="H2" s="5">
        <v>3</v>
      </c>
      <c r="I2" s="5">
        <f>G2-H2</f>
        <v>2</v>
      </c>
      <c r="J2" s="9">
        <f>(I2/G2)</f>
        <v>0.4</v>
      </c>
      <c r="K2" s="7">
        <v>450000</v>
      </c>
      <c r="L2" s="7">
        <v>37500</v>
      </c>
      <c r="M2" s="7">
        <v>256</v>
      </c>
      <c r="N2" s="8">
        <f>I2*M2</f>
        <v>512</v>
      </c>
      <c r="O2" s="8">
        <f>N2*5</f>
        <v>2560</v>
      </c>
      <c r="P2" s="8">
        <f>O2*4</f>
        <v>10240</v>
      </c>
      <c r="Q2" s="8">
        <f>P2*12</f>
        <v>122880</v>
      </c>
      <c r="R2" s="8">
        <v>1650</v>
      </c>
      <c r="S2" s="10">
        <v>19800</v>
      </c>
      <c r="T2" s="11">
        <f>Q2-S2</f>
        <v>103080</v>
      </c>
    </row>
    <row r="3" spans="1:20" x14ac:dyDescent="0.3">
      <c r="A3" s="2" t="s">
        <v>46</v>
      </c>
      <c r="B3" s="3" t="s">
        <v>47</v>
      </c>
      <c r="C3" s="2" t="s">
        <v>189</v>
      </c>
      <c r="D3" s="2" t="s">
        <v>235</v>
      </c>
      <c r="E3" s="2"/>
      <c r="F3" s="2"/>
      <c r="G3" s="5">
        <v>3</v>
      </c>
      <c r="H3" s="5">
        <v>1</v>
      </c>
      <c r="I3" s="5">
        <f t="shared" ref="I3:I51" si="0">G3-H3</f>
        <v>2</v>
      </c>
      <c r="J3" s="9">
        <f t="shared" ref="J3:J51" si="1">(I3/G3)</f>
        <v>0.66666666666666663</v>
      </c>
      <c r="K3" s="7">
        <v>1000000</v>
      </c>
      <c r="L3" s="7">
        <v>83333</v>
      </c>
      <c r="M3" s="7">
        <v>568</v>
      </c>
      <c r="N3" s="8">
        <f t="shared" ref="N3:N51" si="2">I3*M3</f>
        <v>1136</v>
      </c>
      <c r="O3" s="8">
        <f t="shared" ref="O3:O51" si="3">N3*5</f>
        <v>5680</v>
      </c>
      <c r="P3" s="8">
        <f t="shared" ref="P3:P51" si="4">O3*4</f>
        <v>22720</v>
      </c>
      <c r="Q3" s="8">
        <f t="shared" ref="Q3:Q51" si="5">P3*12</f>
        <v>272640</v>
      </c>
      <c r="R3" s="8">
        <v>1650</v>
      </c>
      <c r="S3" s="10">
        <v>19800</v>
      </c>
      <c r="T3" s="11">
        <f t="shared" ref="T3:T51" si="6">Q3-S3</f>
        <v>252840</v>
      </c>
    </row>
    <row r="4" spans="1:20" x14ac:dyDescent="0.3">
      <c r="A4" s="2" t="s">
        <v>57</v>
      </c>
      <c r="B4" s="3" t="s">
        <v>47</v>
      </c>
      <c r="C4" s="2" t="s">
        <v>189</v>
      </c>
      <c r="D4" s="2" t="s">
        <v>229</v>
      </c>
      <c r="E4" s="2" t="s">
        <v>235</v>
      </c>
      <c r="F4" s="2"/>
      <c r="G4" s="5">
        <v>5</v>
      </c>
      <c r="H4" s="5">
        <v>1</v>
      </c>
      <c r="I4" s="5">
        <f t="shared" si="0"/>
        <v>4</v>
      </c>
      <c r="J4" s="9">
        <f t="shared" si="1"/>
        <v>0.8</v>
      </c>
      <c r="K4" s="7">
        <v>1250000</v>
      </c>
      <c r="L4" s="7">
        <v>104167</v>
      </c>
      <c r="M4" s="7">
        <v>710</v>
      </c>
      <c r="N4" s="8">
        <f t="shared" si="2"/>
        <v>2840</v>
      </c>
      <c r="O4" s="8">
        <f t="shared" si="3"/>
        <v>14200</v>
      </c>
      <c r="P4" s="8">
        <f t="shared" si="4"/>
        <v>56800</v>
      </c>
      <c r="Q4" s="8">
        <f t="shared" si="5"/>
        <v>681600</v>
      </c>
      <c r="R4" s="8">
        <v>1650</v>
      </c>
      <c r="S4" s="10">
        <v>19800</v>
      </c>
      <c r="T4" s="11">
        <f t="shared" si="6"/>
        <v>661800</v>
      </c>
    </row>
    <row r="5" spans="1:20" x14ac:dyDescent="0.3">
      <c r="A5" s="2" t="s">
        <v>62</v>
      </c>
      <c r="B5" s="2" t="s">
        <v>63</v>
      </c>
      <c r="C5" s="2" t="s">
        <v>189</v>
      </c>
      <c r="D5" s="2" t="s">
        <v>235</v>
      </c>
      <c r="E5" s="2"/>
      <c r="F5" s="2"/>
      <c r="G5" s="5">
        <v>3</v>
      </c>
      <c r="H5" s="5">
        <v>1</v>
      </c>
      <c r="I5" s="5">
        <f t="shared" si="0"/>
        <v>2</v>
      </c>
      <c r="J5" s="9">
        <f t="shared" si="1"/>
        <v>0.66666666666666663</v>
      </c>
      <c r="K5" s="7">
        <v>4000000</v>
      </c>
      <c r="L5" s="7">
        <v>333333</v>
      </c>
      <c r="M5" s="7">
        <v>2273</v>
      </c>
      <c r="N5" s="8">
        <f t="shared" si="2"/>
        <v>4546</v>
      </c>
      <c r="O5" s="8">
        <f t="shared" si="3"/>
        <v>22730</v>
      </c>
      <c r="P5" s="8">
        <f t="shared" si="4"/>
        <v>90920</v>
      </c>
      <c r="Q5" s="8">
        <f t="shared" si="5"/>
        <v>1091040</v>
      </c>
      <c r="R5" s="8">
        <v>1650</v>
      </c>
      <c r="S5" s="10">
        <v>19800</v>
      </c>
      <c r="T5" s="11">
        <f t="shared" si="6"/>
        <v>1071240</v>
      </c>
    </row>
    <row r="6" spans="1:20" x14ac:dyDescent="0.3">
      <c r="A6" s="2" t="s">
        <v>46</v>
      </c>
      <c r="B6" s="4" t="s">
        <v>67</v>
      </c>
      <c r="C6" s="2" t="s">
        <v>232</v>
      </c>
      <c r="D6" s="2"/>
      <c r="E6" s="2"/>
      <c r="F6" s="2"/>
      <c r="G6" s="5">
        <v>5</v>
      </c>
      <c r="H6" s="5">
        <v>3</v>
      </c>
      <c r="I6" s="5">
        <f t="shared" si="0"/>
        <v>2</v>
      </c>
      <c r="J6" s="9">
        <f t="shared" si="1"/>
        <v>0.4</v>
      </c>
      <c r="K6" s="7">
        <v>1750000</v>
      </c>
      <c r="L6" s="7">
        <v>145833</v>
      </c>
      <c r="M6" s="7">
        <v>994</v>
      </c>
      <c r="N6" s="8">
        <f t="shared" si="2"/>
        <v>1988</v>
      </c>
      <c r="O6" s="8">
        <f t="shared" si="3"/>
        <v>9940</v>
      </c>
      <c r="P6" s="8">
        <f t="shared" si="4"/>
        <v>39760</v>
      </c>
      <c r="Q6" s="8">
        <f t="shared" si="5"/>
        <v>477120</v>
      </c>
      <c r="R6" s="8">
        <v>1650</v>
      </c>
      <c r="S6" s="10">
        <v>19800</v>
      </c>
      <c r="T6" s="11">
        <f t="shared" si="6"/>
        <v>457320</v>
      </c>
    </row>
    <row r="7" spans="1:20" x14ac:dyDescent="0.3">
      <c r="A7" s="2" t="s">
        <v>73</v>
      </c>
      <c r="B7" s="2" t="s">
        <v>30</v>
      </c>
      <c r="C7" s="2" t="s">
        <v>189</v>
      </c>
      <c r="D7" s="2" t="s">
        <v>229</v>
      </c>
      <c r="E7" s="2" t="s">
        <v>235</v>
      </c>
      <c r="F7" s="2" t="s">
        <v>228</v>
      </c>
      <c r="G7" s="5">
        <v>3</v>
      </c>
      <c r="H7" s="5">
        <v>1</v>
      </c>
      <c r="I7" s="5">
        <f t="shared" si="0"/>
        <v>2</v>
      </c>
      <c r="J7" s="9">
        <f t="shared" si="1"/>
        <v>0.66666666666666663</v>
      </c>
      <c r="K7" s="7">
        <v>500000</v>
      </c>
      <c r="L7" s="7">
        <v>41667</v>
      </c>
      <c r="M7" s="7">
        <v>284</v>
      </c>
      <c r="N7" s="8">
        <f t="shared" si="2"/>
        <v>568</v>
      </c>
      <c r="O7" s="8">
        <f t="shared" si="3"/>
        <v>2840</v>
      </c>
      <c r="P7" s="8">
        <f t="shared" si="4"/>
        <v>11360</v>
      </c>
      <c r="Q7" s="8">
        <f t="shared" si="5"/>
        <v>136320</v>
      </c>
      <c r="R7" s="8">
        <v>1650</v>
      </c>
      <c r="S7" s="10">
        <v>19800</v>
      </c>
      <c r="T7" s="11">
        <f t="shared" si="6"/>
        <v>116520</v>
      </c>
    </row>
    <row r="8" spans="1:20" x14ac:dyDescent="0.3">
      <c r="A8" s="2" t="s">
        <v>57</v>
      </c>
      <c r="B8" s="4" t="s">
        <v>67</v>
      </c>
      <c r="C8" s="2" t="s">
        <v>232</v>
      </c>
      <c r="D8" s="2"/>
      <c r="E8" s="2"/>
      <c r="F8" s="2"/>
      <c r="G8" s="5">
        <v>1</v>
      </c>
      <c r="H8" s="5">
        <v>1</v>
      </c>
      <c r="I8" s="5">
        <f t="shared" si="0"/>
        <v>0</v>
      </c>
      <c r="J8" s="9">
        <f t="shared" si="1"/>
        <v>0</v>
      </c>
      <c r="K8" s="7">
        <v>2150000</v>
      </c>
      <c r="L8" s="7">
        <v>179167</v>
      </c>
      <c r="M8" s="7">
        <v>1222</v>
      </c>
      <c r="N8" s="8">
        <f t="shared" si="2"/>
        <v>0</v>
      </c>
      <c r="O8" s="8">
        <f t="shared" si="3"/>
        <v>0</v>
      </c>
      <c r="P8" s="8">
        <f t="shared" si="4"/>
        <v>0</v>
      </c>
      <c r="Q8" s="8">
        <f t="shared" si="5"/>
        <v>0</v>
      </c>
      <c r="R8" s="8">
        <v>1650</v>
      </c>
      <c r="S8" s="10">
        <v>19800</v>
      </c>
      <c r="T8" s="11">
        <f t="shared" si="6"/>
        <v>-19800</v>
      </c>
    </row>
    <row r="9" spans="1:20" x14ac:dyDescent="0.3">
      <c r="A9" s="2" t="s">
        <v>73</v>
      </c>
      <c r="B9" s="3" t="s">
        <v>47</v>
      </c>
      <c r="C9" s="2" t="s">
        <v>83</v>
      </c>
      <c r="D9" s="2"/>
      <c r="E9" s="2"/>
      <c r="F9" s="2"/>
      <c r="G9" s="5">
        <v>5</v>
      </c>
      <c r="H9" s="5">
        <v>1</v>
      </c>
      <c r="I9" s="5">
        <f t="shared" si="0"/>
        <v>4</v>
      </c>
      <c r="J9" s="9">
        <f t="shared" si="1"/>
        <v>0.8</v>
      </c>
      <c r="K9" s="7">
        <v>1150000</v>
      </c>
      <c r="L9" s="7">
        <v>95833</v>
      </c>
      <c r="M9" s="7">
        <v>653</v>
      </c>
      <c r="N9" s="8">
        <f t="shared" si="2"/>
        <v>2612</v>
      </c>
      <c r="O9" s="8">
        <f t="shared" si="3"/>
        <v>13060</v>
      </c>
      <c r="P9" s="8">
        <f t="shared" si="4"/>
        <v>52240</v>
      </c>
      <c r="Q9" s="8">
        <f t="shared" si="5"/>
        <v>626880</v>
      </c>
      <c r="R9" s="8">
        <v>1650</v>
      </c>
      <c r="S9" s="10">
        <v>19800</v>
      </c>
      <c r="T9" s="11">
        <f t="shared" si="6"/>
        <v>607080</v>
      </c>
    </row>
    <row r="10" spans="1:20" x14ac:dyDescent="0.3">
      <c r="A10" s="2" t="s">
        <v>227</v>
      </c>
      <c r="B10" s="4" t="s">
        <v>67</v>
      </c>
      <c r="C10" s="2" t="s">
        <v>189</v>
      </c>
      <c r="D10" s="2" t="s">
        <v>228</v>
      </c>
      <c r="E10" s="2" t="s">
        <v>230</v>
      </c>
      <c r="F10" s="2"/>
      <c r="G10" s="5">
        <v>3</v>
      </c>
      <c r="H10" s="5">
        <v>1</v>
      </c>
      <c r="I10" s="5">
        <f t="shared" si="0"/>
        <v>2</v>
      </c>
      <c r="J10" s="9">
        <f t="shared" si="1"/>
        <v>0.66666666666666663</v>
      </c>
      <c r="K10" s="7">
        <v>1850000</v>
      </c>
      <c r="L10" s="7">
        <v>154167</v>
      </c>
      <c r="M10" s="7">
        <v>876</v>
      </c>
      <c r="N10" s="8">
        <f t="shared" si="2"/>
        <v>1752</v>
      </c>
      <c r="O10" s="8">
        <f t="shared" si="3"/>
        <v>8760</v>
      </c>
      <c r="P10" s="8">
        <f t="shared" si="4"/>
        <v>35040</v>
      </c>
      <c r="Q10" s="8">
        <f t="shared" si="5"/>
        <v>420480</v>
      </c>
      <c r="R10" s="8">
        <v>1650</v>
      </c>
      <c r="S10" s="10">
        <v>19800</v>
      </c>
      <c r="T10" s="11">
        <f t="shared" si="6"/>
        <v>400680</v>
      </c>
    </row>
    <row r="11" spans="1:20" x14ac:dyDescent="0.3">
      <c r="A11" s="2" t="s">
        <v>73</v>
      </c>
      <c r="B11" s="4" t="s">
        <v>67</v>
      </c>
      <c r="C11" s="2" t="s">
        <v>189</v>
      </c>
      <c r="D11" s="2" t="s">
        <v>229</v>
      </c>
      <c r="E11" s="2" t="s">
        <v>235</v>
      </c>
      <c r="F11" s="2" t="s">
        <v>228</v>
      </c>
      <c r="G11" s="5">
        <v>5</v>
      </c>
      <c r="H11" s="5">
        <v>3</v>
      </c>
      <c r="I11" s="5">
        <f t="shared" si="0"/>
        <v>2</v>
      </c>
      <c r="J11" s="9">
        <f t="shared" si="1"/>
        <v>0.4</v>
      </c>
      <c r="K11" s="7">
        <v>2300000</v>
      </c>
      <c r="L11" s="7">
        <v>191667</v>
      </c>
      <c r="M11" s="7">
        <v>1309</v>
      </c>
      <c r="N11" s="8">
        <f t="shared" si="2"/>
        <v>2618</v>
      </c>
      <c r="O11" s="8">
        <f t="shared" si="3"/>
        <v>13090</v>
      </c>
      <c r="P11" s="8">
        <f t="shared" si="4"/>
        <v>52360</v>
      </c>
      <c r="Q11" s="8">
        <f t="shared" si="5"/>
        <v>628320</v>
      </c>
      <c r="R11" s="8">
        <v>1650</v>
      </c>
      <c r="S11" s="10">
        <v>19800</v>
      </c>
      <c r="T11" s="11">
        <f t="shared" si="6"/>
        <v>608520</v>
      </c>
    </row>
    <row r="12" spans="1:20" x14ac:dyDescent="0.3">
      <c r="A12" s="2" t="s">
        <v>227</v>
      </c>
      <c r="B12" s="2" t="s">
        <v>30</v>
      </c>
      <c r="C12" s="2"/>
      <c r="D12" s="2"/>
      <c r="E12" s="2"/>
      <c r="F12" s="2"/>
      <c r="G12" s="5">
        <v>0</v>
      </c>
      <c r="H12" s="5">
        <v>0</v>
      </c>
      <c r="I12" s="5">
        <f t="shared" si="0"/>
        <v>0</v>
      </c>
      <c r="J12" s="9">
        <v>0</v>
      </c>
      <c r="K12" s="7">
        <v>450000</v>
      </c>
      <c r="L12" s="7">
        <v>37500</v>
      </c>
      <c r="M12" s="7">
        <v>256</v>
      </c>
      <c r="N12" s="8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v>0</v>
      </c>
      <c r="S12" s="8">
        <v>0</v>
      </c>
      <c r="T12" s="11">
        <f t="shared" si="6"/>
        <v>0</v>
      </c>
    </row>
    <row r="13" spans="1:20" x14ac:dyDescent="0.3">
      <c r="A13" s="2" t="s">
        <v>73</v>
      </c>
      <c r="B13" s="3" t="s">
        <v>47</v>
      </c>
      <c r="C13" s="2" t="s">
        <v>102</v>
      </c>
      <c r="D13" s="2"/>
      <c r="E13" s="2"/>
      <c r="F13" s="2"/>
      <c r="G13" s="5">
        <v>3</v>
      </c>
      <c r="H13" s="5">
        <v>1</v>
      </c>
      <c r="I13" s="5">
        <f t="shared" si="0"/>
        <v>2</v>
      </c>
      <c r="J13" s="9">
        <f t="shared" si="1"/>
        <v>0.66666666666666663</v>
      </c>
      <c r="K13" s="7">
        <v>1150000</v>
      </c>
      <c r="L13" s="7">
        <v>95833</v>
      </c>
      <c r="M13" s="7">
        <v>653</v>
      </c>
      <c r="N13" s="8">
        <f t="shared" si="2"/>
        <v>1306</v>
      </c>
      <c r="O13" s="8">
        <f t="shared" si="3"/>
        <v>6530</v>
      </c>
      <c r="P13" s="8">
        <f t="shared" si="4"/>
        <v>26120</v>
      </c>
      <c r="Q13" s="8">
        <f t="shared" si="5"/>
        <v>313440</v>
      </c>
      <c r="R13" s="8">
        <v>1650</v>
      </c>
      <c r="S13" s="10">
        <v>19800</v>
      </c>
      <c r="T13" s="11">
        <f t="shared" si="6"/>
        <v>293640</v>
      </c>
    </row>
    <row r="14" spans="1:20" x14ac:dyDescent="0.3">
      <c r="A14" s="2" t="s">
        <v>57</v>
      </c>
      <c r="B14" s="3" t="s">
        <v>47</v>
      </c>
      <c r="C14" s="2" t="s">
        <v>189</v>
      </c>
      <c r="D14" s="2" t="s">
        <v>235</v>
      </c>
      <c r="E14" s="2"/>
      <c r="F14" s="2"/>
      <c r="G14" s="5">
        <v>5</v>
      </c>
      <c r="H14" s="5">
        <v>1</v>
      </c>
      <c r="I14" s="5">
        <f t="shared" si="0"/>
        <v>4</v>
      </c>
      <c r="J14" s="9">
        <f t="shared" si="1"/>
        <v>0.8</v>
      </c>
      <c r="K14" s="7">
        <v>1250000</v>
      </c>
      <c r="L14" s="7">
        <v>104167</v>
      </c>
      <c r="M14" s="7">
        <v>710</v>
      </c>
      <c r="N14" s="8">
        <f t="shared" si="2"/>
        <v>2840</v>
      </c>
      <c r="O14" s="8">
        <f t="shared" si="3"/>
        <v>14200</v>
      </c>
      <c r="P14" s="8">
        <f t="shared" si="4"/>
        <v>56800</v>
      </c>
      <c r="Q14" s="8">
        <f t="shared" si="5"/>
        <v>681600</v>
      </c>
      <c r="R14" s="8">
        <v>1650</v>
      </c>
      <c r="S14" s="10">
        <v>19800</v>
      </c>
      <c r="T14" s="11">
        <f t="shared" si="6"/>
        <v>661800</v>
      </c>
    </row>
    <row r="15" spans="1:20" x14ac:dyDescent="0.3">
      <c r="A15" s="2" t="s">
        <v>108</v>
      </c>
      <c r="B15" s="2" t="s">
        <v>63</v>
      </c>
      <c r="C15" s="2" t="s">
        <v>83</v>
      </c>
      <c r="D15" s="2" t="s">
        <v>235</v>
      </c>
      <c r="E15" s="2"/>
      <c r="F15" s="2"/>
      <c r="G15" s="5">
        <v>1</v>
      </c>
      <c r="H15" s="5">
        <v>1</v>
      </c>
      <c r="I15" s="5">
        <f t="shared" si="0"/>
        <v>0</v>
      </c>
      <c r="J15" s="9">
        <f t="shared" si="1"/>
        <v>0</v>
      </c>
      <c r="K15" s="7">
        <v>2400000</v>
      </c>
      <c r="L15" s="7">
        <v>200000</v>
      </c>
      <c r="M15" s="7">
        <v>1136</v>
      </c>
      <c r="N15" s="8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v>1650</v>
      </c>
      <c r="S15" s="10">
        <v>19800</v>
      </c>
      <c r="T15" s="11">
        <f t="shared" si="6"/>
        <v>-19800</v>
      </c>
    </row>
    <row r="16" spans="1:20" x14ac:dyDescent="0.3">
      <c r="A16" s="2" t="s">
        <v>57</v>
      </c>
      <c r="B16" s="2" t="s">
        <v>63</v>
      </c>
      <c r="C16" s="2" t="s">
        <v>232</v>
      </c>
      <c r="D16" s="2"/>
      <c r="E16" s="2"/>
      <c r="F16" s="2"/>
      <c r="G16" s="5">
        <v>5</v>
      </c>
      <c r="H16" s="5">
        <v>1</v>
      </c>
      <c r="I16" s="5">
        <f t="shared" si="0"/>
        <v>4</v>
      </c>
      <c r="J16" s="9">
        <f t="shared" si="1"/>
        <v>0.8</v>
      </c>
      <c r="K16" s="7">
        <v>3500000</v>
      </c>
      <c r="L16" s="7">
        <v>291667</v>
      </c>
      <c r="M16" s="7">
        <v>1994</v>
      </c>
      <c r="N16" s="8">
        <f t="shared" si="2"/>
        <v>7976</v>
      </c>
      <c r="O16" s="8">
        <f t="shared" si="3"/>
        <v>39880</v>
      </c>
      <c r="P16" s="8">
        <f t="shared" si="4"/>
        <v>159520</v>
      </c>
      <c r="Q16" s="8">
        <f t="shared" si="5"/>
        <v>1914240</v>
      </c>
      <c r="R16" s="8">
        <v>1650</v>
      </c>
      <c r="S16" s="10">
        <v>19800</v>
      </c>
      <c r="T16" s="11">
        <f t="shared" si="6"/>
        <v>1894440</v>
      </c>
    </row>
    <row r="17" spans="1:20" x14ac:dyDescent="0.3">
      <c r="A17" s="2" t="s">
        <v>57</v>
      </c>
      <c r="B17" s="2" t="s">
        <v>63</v>
      </c>
      <c r="C17" s="2" t="s">
        <v>83</v>
      </c>
      <c r="D17" s="2"/>
      <c r="E17" s="2"/>
      <c r="F17" s="2"/>
      <c r="G17" s="5">
        <v>5</v>
      </c>
      <c r="H17" s="5">
        <v>1</v>
      </c>
      <c r="I17" s="5">
        <f t="shared" si="0"/>
        <v>4</v>
      </c>
      <c r="J17" s="9">
        <f t="shared" si="1"/>
        <v>0.8</v>
      </c>
      <c r="K17" s="7">
        <v>3500000</v>
      </c>
      <c r="L17" s="7">
        <v>291667</v>
      </c>
      <c r="M17" s="7">
        <v>1994</v>
      </c>
      <c r="N17" s="8">
        <f t="shared" si="2"/>
        <v>7976</v>
      </c>
      <c r="O17" s="8">
        <f t="shared" si="3"/>
        <v>39880</v>
      </c>
      <c r="P17" s="8">
        <f t="shared" si="4"/>
        <v>159520</v>
      </c>
      <c r="Q17" s="8">
        <f t="shared" si="5"/>
        <v>1914240</v>
      </c>
      <c r="R17" s="8">
        <v>1650</v>
      </c>
      <c r="S17" s="10">
        <v>19800</v>
      </c>
      <c r="T17" s="11">
        <f t="shared" si="6"/>
        <v>1894440</v>
      </c>
    </row>
    <row r="18" spans="1:20" x14ac:dyDescent="0.3">
      <c r="A18" s="2" t="s">
        <v>227</v>
      </c>
      <c r="B18" s="3" t="s">
        <v>47</v>
      </c>
      <c r="C18" s="2" t="s">
        <v>232</v>
      </c>
      <c r="D18" s="2"/>
      <c r="E18" s="2"/>
      <c r="F18" s="2"/>
      <c r="G18" s="5">
        <v>9</v>
      </c>
      <c r="H18" s="5">
        <v>3</v>
      </c>
      <c r="I18" s="5">
        <f t="shared" si="0"/>
        <v>6</v>
      </c>
      <c r="J18" s="9">
        <f t="shared" si="1"/>
        <v>0.66666666666666663</v>
      </c>
      <c r="K18" s="7">
        <v>1000000</v>
      </c>
      <c r="L18" s="7">
        <v>83333</v>
      </c>
      <c r="M18" s="7">
        <v>568</v>
      </c>
      <c r="N18" s="8">
        <f t="shared" si="2"/>
        <v>3408</v>
      </c>
      <c r="O18" s="8">
        <f t="shared" si="3"/>
        <v>17040</v>
      </c>
      <c r="P18" s="8">
        <f t="shared" si="4"/>
        <v>68160</v>
      </c>
      <c r="Q18" s="8">
        <f t="shared" si="5"/>
        <v>817920</v>
      </c>
      <c r="R18" s="8">
        <v>1650</v>
      </c>
      <c r="S18" s="10">
        <v>19800</v>
      </c>
      <c r="T18" s="11">
        <f t="shared" si="6"/>
        <v>798120</v>
      </c>
    </row>
    <row r="19" spans="1:20" x14ac:dyDescent="0.3">
      <c r="A19" s="2" t="s">
        <v>73</v>
      </c>
      <c r="B19" s="4" t="s">
        <v>67</v>
      </c>
      <c r="C19" s="2"/>
      <c r="D19" s="2"/>
      <c r="E19" s="2"/>
      <c r="F19" s="2"/>
      <c r="G19" s="5">
        <v>0</v>
      </c>
      <c r="H19" s="5">
        <v>0</v>
      </c>
      <c r="I19" s="5">
        <f t="shared" si="0"/>
        <v>0</v>
      </c>
      <c r="J19" s="9">
        <v>0</v>
      </c>
      <c r="K19" s="7">
        <v>2300000</v>
      </c>
      <c r="L19" s="7">
        <v>191667</v>
      </c>
      <c r="M19" s="7">
        <v>1309</v>
      </c>
      <c r="N19" s="8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v>0</v>
      </c>
      <c r="S19" s="8">
        <v>0</v>
      </c>
      <c r="T19" s="11">
        <f t="shared" si="6"/>
        <v>0</v>
      </c>
    </row>
    <row r="20" spans="1:20" x14ac:dyDescent="0.3">
      <c r="A20" s="2" t="s">
        <v>46</v>
      </c>
      <c r="B20" s="3" t="s">
        <v>47</v>
      </c>
      <c r="C20" s="2" t="s">
        <v>189</v>
      </c>
      <c r="D20" s="2" t="s">
        <v>235</v>
      </c>
      <c r="E20" s="2" t="s">
        <v>228</v>
      </c>
      <c r="F20" s="2"/>
      <c r="G20" s="5">
        <v>5</v>
      </c>
      <c r="H20" s="5">
        <v>3</v>
      </c>
      <c r="I20" s="5">
        <f t="shared" si="0"/>
        <v>2</v>
      </c>
      <c r="J20" s="9">
        <f t="shared" si="1"/>
        <v>0.4</v>
      </c>
      <c r="K20" s="7">
        <v>1000000</v>
      </c>
      <c r="L20" s="7">
        <v>83333</v>
      </c>
      <c r="M20" s="7">
        <v>568</v>
      </c>
      <c r="N20" s="8">
        <f t="shared" si="2"/>
        <v>1136</v>
      </c>
      <c r="O20" s="8">
        <f t="shared" si="3"/>
        <v>5680</v>
      </c>
      <c r="P20" s="8">
        <f t="shared" si="4"/>
        <v>22720</v>
      </c>
      <c r="Q20" s="8">
        <f t="shared" si="5"/>
        <v>272640</v>
      </c>
      <c r="R20" s="8">
        <v>1650</v>
      </c>
      <c r="S20" s="10">
        <v>19800</v>
      </c>
      <c r="T20" s="11">
        <f t="shared" si="6"/>
        <v>252840</v>
      </c>
    </row>
    <row r="21" spans="1:20" x14ac:dyDescent="0.3">
      <c r="A21" s="2" t="s">
        <v>62</v>
      </c>
      <c r="B21" s="4" t="s">
        <v>67</v>
      </c>
      <c r="C21" s="2"/>
      <c r="D21" s="2"/>
      <c r="E21" s="2"/>
      <c r="F21" s="2"/>
      <c r="G21" s="5">
        <v>0</v>
      </c>
      <c r="H21" s="5">
        <v>0</v>
      </c>
      <c r="I21" s="5">
        <f t="shared" si="0"/>
        <v>0</v>
      </c>
      <c r="J21" s="9">
        <v>0</v>
      </c>
      <c r="K21" s="7">
        <v>2400000</v>
      </c>
      <c r="L21" s="7">
        <v>200000</v>
      </c>
      <c r="M21" s="7">
        <v>1364</v>
      </c>
      <c r="N21" s="8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v>0</v>
      </c>
      <c r="S21" s="8">
        <v>0</v>
      </c>
      <c r="T21" s="11">
        <f t="shared" si="6"/>
        <v>0</v>
      </c>
    </row>
    <row r="22" spans="1:20" x14ac:dyDescent="0.3">
      <c r="A22" s="2" t="s">
        <v>73</v>
      </c>
      <c r="B22" s="4" t="s">
        <v>67</v>
      </c>
      <c r="C22" s="2" t="s">
        <v>189</v>
      </c>
      <c r="D22" s="2" t="s">
        <v>229</v>
      </c>
      <c r="E22" s="2" t="s">
        <v>235</v>
      </c>
      <c r="F22" s="2"/>
      <c r="G22" s="5">
        <v>3</v>
      </c>
      <c r="H22" s="5">
        <v>1</v>
      </c>
      <c r="I22" s="5">
        <f t="shared" si="0"/>
        <v>2</v>
      </c>
      <c r="J22" s="9">
        <f t="shared" si="1"/>
        <v>0.66666666666666663</v>
      </c>
      <c r="K22" s="7">
        <v>2300000</v>
      </c>
      <c r="L22" s="7">
        <v>191667</v>
      </c>
      <c r="M22" s="7">
        <v>1309</v>
      </c>
      <c r="N22" s="8">
        <f t="shared" si="2"/>
        <v>2618</v>
      </c>
      <c r="O22" s="8">
        <f t="shared" si="3"/>
        <v>13090</v>
      </c>
      <c r="P22" s="8">
        <f t="shared" si="4"/>
        <v>52360</v>
      </c>
      <c r="Q22" s="8">
        <f t="shared" si="5"/>
        <v>628320</v>
      </c>
      <c r="R22" s="8">
        <v>1650</v>
      </c>
      <c r="S22" s="10">
        <v>19800</v>
      </c>
      <c r="T22" s="11">
        <f t="shared" si="6"/>
        <v>608520</v>
      </c>
    </row>
    <row r="23" spans="1:20" x14ac:dyDescent="0.3">
      <c r="A23" s="2" t="s">
        <v>227</v>
      </c>
      <c r="B23" s="4" t="s">
        <v>67</v>
      </c>
      <c r="C23" s="2" t="s">
        <v>189</v>
      </c>
      <c r="D23" s="2" t="s">
        <v>235</v>
      </c>
      <c r="E23" s="2" t="s">
        <v>228</v>
      </c>
      <c r="F23" s="2"/>
      <c r="G23" s="5">
        <v>3</v>
      </c>
      <c r="H23" s="5">
        <v>1</v>
      </c>
      <c r="I23" s="5">
        <f t="shared" si="0"/>
        <v>2</v>
      </c>
      <c r="J23" s="9">
        <f t="shared" si="1"/>
        <v>0.66666666666666663</v>
      </c>
      <c r="K23" s="7">
        <v>1850000</v>
      </c>
      <c r="L23" s="7">
        <v>154167</v>
      </c>
      <c r="M23" s="7">
        <v>876</v>
      </c>
      <c r="N23" s="8">
        <f t="shared" si="2"/>
        <v>1752</v>
      </c>
      <c r="O23" s="8">
        <f t="shared" si="3"/>
        <v>8760</v>
      </c>
      <c r="P23" s="8">
        <f t="shared" si="4"/>
        <v>35040</v>
      </c>
      <c r="Q23" s="8">
        <f t="shared" si="5"/>
        <v>420480</v>
      </c>
      <c r="R23" s="8">
        <v>1650</v>
      </c>
      <c r="S23" s="10">
        <v>19800</v>
      </c>
      <c r="T23" s="11">
        <f t="shared" si="6"/>
        <v>400680</v>
      </c>
    </row>
    <row r="24" spans="1:20" x14ac:dyDescent="0.3">
      <c r="A24" s="2" t="s">
        <v>46</v>
      </c>
      <c r="B24" s="3" t="s">
        <v>47</v>
      </c>
      <c r="C24" s="2" t="s">
        <v>232</v>
      </c>
      <c r="D24" s="2" t="s">
        <v>228</v>
      </c>
      <c r="E24" s="2"/>
      <c r="F24" s="2"/>
      <c r="G24" s="5">
        <v>3</v>
      </c>
      <c r="H24" s="5">
        <v>1</v>
      </c>
      <c r="I24" s="5">
        <f t="shared" si="0"/>
        <v>2</v>
      </c>
      <c r="J24" s="9">
        <f t="shared" si="1"/>
        <v>0.66666666666666663</v>
      </c>
      <c r="K24" s="7">
        <v>1000000</v>
      </c>
      <c r="L24" s="7">
        <v>83333</v>
      </c>
      <c r="M24" s="7">
        <v>568</v>
      </c>
      <c r="N24" s="8">
        <f t="shared" si="2"/>
        <v>1136</v>
      </c>
      <c r="O24" s="8">
        <f t="shared" si="3"/>
        <v>5680</v>
      </c>
      <c r="P24" s="8">
        <f t="shared" si="4"/>
        <v>22720</v>
      </c>
      <c r="Q24" s="8">
        <f t="shared" si="5"/>
        <v>272640</v>
      </c>
      <c r="R24" s="8">
        <v>1650</v>
      </c>
      <c r="S24" s="10">
        <v>19800</v>
      </c>
      <c r="T24" s="11">
        <f t="shared" si="6"/>
        <v>252840</v>
      </c>
    </row>
    <row r="25" spans="1:20" x14ac:dyDescent="0.3">
      <c r="A25" s="2" t="s">
        <v>227</v>
      </c>
      <c r="B25" s="4" t="s">
        <v>67</v>
      </c>
      <c r="C25" s="2"/>
      <c r="D25" s="2"/>
      <c r="E25" s="2"/>
      <c r="F25" s="2"/>
      <c r="G25" s="5">
        <v>0</v>
      </c>
      <c r="H25" s="5">
        <v>0</v>
      </c>
      <c r="I25" s="5">
        <f t="shared" si="0"/>
        <v>0</v>
      </c>
      <c r="J25" s="9">
        <v>0</v>
      </c>
      <c r="K25" s="7">
        <v>1850000</v>
      </c>
      <c r="L25" s="7">
        <v>154167</v>
      </c>
      <c r="M25" s="7">
        <v>876</v>
      </c>
      <c r="N25" s="8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v>0</v>
      </c>
      <c r="S25" s="8">
        <v>0</v>
      </c>
      <c r="T25" s="11">
        <f t="shared" si="6"/>
        <v>0</v>
      </c>
    </row>
    <row r="26" spans="1:20" x14ac:dyDescent="0.3">
      <c r="A26" s="2" t="s">
        <v>46</v>
      </c>
      <c r="B26" s="3" t="s">
        <v>47</v>
      </c>
      <c r="C26" s="2" t="s">
        <v>232</v>
      </c>
      <c r="D26" s="2"/>
      <c r="E26" s="2"/>
      <c r="F26" s="2"/>
      <c r="G26" s="5">
        <v>1</v>
      </c>
      <c r="H26" s="5">
        <v>1</v>
      </c>
      <c r="I26" s="5">
        <f t="shared" si="0"/>
        <v>0</v>
      </c>
      <c r="J26" s="9">
        <f t="shared" si="1"/>
        <v>0</v>
      </c>
      <c r="K26" s="7">
        <v>1000000</v>
      </c>
      <c r="L26" s="7">
        <v>83333</v>
      </c>
      <c r="M26" s="7">
        <v>568</v>
      </c>
      <c r="N26" s="8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v>1650</v>
      </c>
      <c r="S26" s="10">
        <v>19800</v>
      </c>
      <c r="T26" s="11">
        <f t="shared" si="6"/>
        <v>-19800</v>
      </c>
    </row>
    <row r="27" spans="1:20" x14ac:dyDescent="0.3">
      <c r="A27" s="2" t="s">
        <v>73</v>
      </c>
      <c r="B27" s="2" t="s">
        <v>30</v>
      </c>
      <c r="C27" s="2" t="s">
        <v>189</v>
      </c>
      <c r="D27" s="2" t="s">
        <v>235</v>
      </c>
      <c r="E27" s="2"/>
      <c r="F27" s="2"/>
      <c r="G27" s="5">
        <v>5</v>
      </c>
      <c r="H27" s="5">
        <v>3</v>
      </c>
      <c r="I27" s="5">
        <f t="shared" si="0"/>
        <v>2</v>
      </c>
      <c r="J27" s="9">
        <f t="shared" si="1"/>
        <v>0.4</v>
      </c>
      <c r="K27" s="7">
        <v>500000</v>
      </c>
      <c r="L27" s="7">
        <v>41667</v>
      </c>
      <c r="M27" s="7">
        <v>284</v>
      </c>
      <c r="N27" s="8">
        <f t="shared" si="2"/>
        <v>568</v>
      </c>
      <c r="O27" s="8">
        <f t="shared" si="3"/>
        <v>2840</v>
      </c>
      <c r="P27" s="8">
        <f t="shared" si="4"/>
        <v>11360</v>
      </c>
      <c r="Q27" s="8">
        <f t="shared" si="5"/>
        <v>136320</v>
      </c>
      <c r="R27" s="8">
        <v>1650</v>
      </c>
      <c r="S27" s="10">
        <v>19800</v>
      </c>
      <c r="T27" s="11">
        <f t="shared" si="6"/>
        <v>116520</v>
      </c>
    </row>
    <row r="28" spans="1:20" x14ac:dyDescent="0.3">
      <c r="A28" s="2" t="s">
        <v>227</v>
      </c>
      <c r="B28" s="3" t="s">
        <v>47</v>
      </c>
      <c r="C28" s="2" t="s">
        <v>189</v>
      </c>
      <c r="D28" s="2" t="s">
        <v>228</v>
      </c>
      <c r="E28" s="2"/>
      <c r="F28" s="2"/>
      <c r="G28" s="5">
        <v>5</v>
      </c>
      <c r="H28" s="5">
        <v>1</v>
      </c>
      <c r="I28" s="5">
        <f t="shared" si="0"/>
        <v>4</v>
      </c>
      <c r="J28" s="9">
        <f t="shared" si="1"/>
        <v>0.8</v>
      </c>
      <c r="K28" s="7">
        <v>1000000</v>
      </c>
      <c r="L28" s="7">
        <v>83333</v>
      </c>
      <c r="M28" s="7">
        <v>568</v>
      </c>
      <c r="N28" s="8">
        <f t="shared" si="2"/>
        <v>2272</v>
      </c>
      <c r="O28" s="8">
        <f t="shared" si="3"/>
        <v>11360</v>
      </c>
      <c r="P28" s="8">
        <f t="shared" si="4"/>
        <v>45440</v>
      </c>
      <c r="Q28" s="8">
        <f t="shared" si="5"/>
        <v>545280</v>
      </c>
      <c r="R28" s="8">
        <v>1650</v>
      </c>
      <c r="S28" s="10">
        <v>19800</v>
      </c>
      <c r="T28" s="11">
        <f t="shared" si="6"/>
        <v>525480</v>
      </c>
    </row>
    <row r="29" spans="1:20" x14ac:dyDescent="0.3">
      <c r="A29" s="2" t="s">
        <v>227</v>
      </c>
      <c r="B29" s="4" t="s">
        <v>67</v>
      </c>
      <c r="C29" s="2" t="s">
        <v>189</v>
      </c>
      <c r="D29" s="2" t="s">
        <v>229</v>
      </c>
      <c r="E29" s="2" t="s">
        <v>235</v>
      </c>
      <c r="F29" s="2" t="s">
        <v>228</v>
      </c>
      <c r="G29" s="5">
        <v>3</v>
      </c>
      <c r="H29" s="5">
        <v>1</v>
      </c>
      <c r="I29" s="5">
        <f t="shared" si="0"/>
        <v>2</v>
      </c>
      <c r="J29" s="9">
        <f t="shared" si="1"/>
        <v>0.66666666666666663</v>
      </c>
      <c r="K29" s="7">
        <v>1850000</v>
      </c>
      <c r="L29" s="7">
        <v>154167</v>
      </c>
      <c r="M29" s="7">
        <v>876</v>
      </c>
      <c r="N29" s="8">
        <f t="shared" si="2"/>
        <v>1752</v>
      </c>
      <c r="O29" s="8">
        <f t="shared" si="3"/>
        <v>8760</v>
      </c>
      <c r="P29" s="8">
        <f t="shared" si="4"/>
        <v>35040</v>
      </c>
      <c r="Q29" s="8">
        <f t="shared" si="5"/>
        <v>420480</v>
      </c>
      <c r="R29" s="8">
        <v>1650</v>
      </c>
      <c r="S29" s="10">
        <v>19800</v>
      </c>
      <c r="T29" s="11">
        <f t="shared" si="6"/>
        <v>400680</v>
      </c>
    </row>
    <row r="30" spans="1:20" x14ac:dyDescent="0.3">
      <c r="A30" s="2" t="s">
        <v>57</v>
      </c>
      <c r="B30" s="3" t="s">
        <v>47</v>
      </c>
      <c r="C30" s="2"/>
      <c r="D30" s="2"/>
      <c r="E30" s="2"/>
      <c r="F30" s="2"/>
      <c r="G30" s="5">
        <v>0</v>
      </c>
      <c r="H30" s="5">
        <v>0</v>
      </c>
      <c r="I30" s="5">
        <f t="shared" si="0"/>
        <v>0</v>
      </c>
      <c r="J30" s="9">
        <v>0</v>
      </c>
      <c r="K30" s="7">
        <v>1250000</v>
      </c>
      <c r="L30" s="7">
        <v>104167</v>
      </c>
      <c r="M30" s="7">
        <v>710</v>
      </c>
      <c r="N30" s="8">
        <f t="shared" si="2"/>
        <v>0</v>
      </c>
      <c r="O30" s="8">
        <f t="shared" si="3"/>
        <v>0</v>
      </c>
      <c r="P30" s="8">
        <f t="shared" si="4"/>
        <v>0</v>
      </c>
      <c r="Q30" s="8">
        <f t="shared" si="5"/>
        <v>0</v>
      </c>
      <c r="R30" s="8">
        <v>0</v>
      </c>
      <c r="S30" s="8">
        <v>0</v>
      </c>
      <c r="T30" s="11">
        <f t="shared" si="6"/>
        <v>0</v>
      </c>
    </row>
    <row r="31" spans="1:20" x14ac:dyDescent="0.3">
      <c r="A31" s="2" t="s">
        <v>62</v>
      </c>
      <c r="B31" s="3" t="s">
        <v>47</v>
      </c>
      <c r="C31" s="2" t="s">
        <v>189</v>
      </c>
      <c r="D31" s="2" t="s">
        <v>229</v>
      </c>
      <c r="E31" s="2" t="s">
        <v>228</v>
      </c>
      <c r="F31" s="2"/>
      <c r="G31" s="5">
        <v>3</v>
      </c>
      <c r="H31" s="5">
        <v>1</v>
      </c>
      <c r="I31" s="5">
        <f t="shared" si="0"/>
        <v>2</v>
      </c>
      <c r="J31" s="9">
        <f t="shared" si="1"/>
        <v>0.66666666666666663</v>
      </c>
      <c r="K31" s="7">
        <v>1500000</v>
      </c>
      <c r="L31" s="7">
        <v>125000</v>
      </c>
      <c r="M31" s="7">
        <v>852</v>
      </c>
      <c r="N31" s="8">
        <f t="shared" si="2"/>
        <v>1704</v>
      </c>
      <c r="O31" s="8">
        <f t="shared" si="3"/>
        <v>8520</v>
      </c>
      <c r="P31" s="8">
        <f t="shared" si="4"/>
        <v>34080</v>
      </c>
      <c r="Q31" s="8">
        <f t="shared" si="5"/>
        <v>408960</v>
      </c>
      <c r="R31" s="8">
        <v>1650</v>
      </c>
      <c r="S31" s="10">
        <v>19800</v>
      </c>
      <c r="T31" s="11">
        <f t="shared" si="6"/>
        <v>389160</v>
      </c>
    </row>
    <row r="32" spans="1:20" x14ac:dyDescent="0.3">
      <c r="A32" s="2" t="s">
        <v>73</v>
      </c>
      <c r="B32" s="4" t="s">
        <v>67</v>
      </c>
      <c r="C32" s="2" t="s">
        <v>189</v>
      </c>
      <c r="D32" s="2" t="s">
        <v>229</v>
      </c>
      <c r="E32" s="2" t="s">
        <v>233</v>
      </c>
      <c r="F32" s="2"/>
      <c r="G32" s="5">
        <v>9</v>
      </c>
      <c r="H32" s="5">
        <v>1</v>
      </c>
      <c r="I32" s="5">
        <f t="shared" si="0"/>
        <v>8</v>
      </c>
      <c r="J32" s="9">
        <f t="shared" si="1"/>
        <v>0.88888888888888884</v>
      </c>
      <c r="K32" s="7">
        <v>2300000</v>
      </c>
      <c r="L32" s="7">
        <v>191667</v>
      </c>
      <c r="M32" s="7">
        <v>1309</v>
      </c>
      <c r="N32" s="8">
        <f t="shared" si="2"/>
        <v>10472</v>
      </c>
      <c r="O32" s="8">
        <f t="shared" si="3"/>
        <v>52360</v>
      </c>
      <c r="P32" s="8">
        <f t="shared" si="4"/>
        <v>209440</v>
      </c>
      <c r="Q32" s="8">
        <f t="shared" si="5"/>
        <v>2513280</v>
      </c>
      <c r="R32" s="8">
        <v>1650</v>
      </c>
      <c r="S32" s="10">
        <v>19800</v>
      </c>
      <c r="T32" s="11">
        <f t="shared" si="6"/>
        <v>2493480</v>
      </c>
    </row>
    <row r="33" spans="1:20" x14ac:dyDescent="0.3">
      <c r="A33" s="2" t="s">
        <v>73</v>
      </c>
      <c r="B33" s="4" t="s">
        <v>67</v>
      </c>
      <c r="C33" s="2" t="s">
        <v>189</v>
      </c>
      <c r="D33" s="2" t="s">
        <v>229</v>
      </c>
      <c r="E33" s="2" t="s">
        <v>235</v>
      </c>
      <c r="F33" s="2" t="s">
        <v>228</v>
      </c>
      <c r="G33" s="5">
        <v>9</v>
      </c>
      <c r="H33" s="5">
        <v>1</v>
      </c>
      <c r="I33" s="5">
        <f t="shared" si="0"/>
        <v>8</v>
      </c>
      <c r="J33" s="9">
        <f t="shared" si="1"/>
        <v>0.88888888888888884</v>
      </c>
      <c r="K33" s="7">
        <v>2300000</v>
      </c>
      <c r="L33" s="7">
        <v>191667</v>
      </c>
      <c r="M33" s="7">
        <v>1309</v>
      </c>
      <c r="N33" s="8">
        <f t="shared" si="2"/>
        <v>10472</v>
      </c>
      <c r="O33" s="8">
        <f t="shared" si="3"/>
        <v>52360</v>
      </c>
      <c r="P33" s="8">
        <f t="shared" si="4"/>
        <v>209440</v>
      </c>
      <c r="Q33" s="8">
        <f t="shared" si="5"/>
        <v>2513280</v>
      </c>
      <c r="R33" s="8">
        <v>1650</v>
      </c>
      <c r="S33" s="10">
        <v>19800</v>
      </c>
      <c r="T33" s="11">
        <f t="shared" si="6"/>
        <v>2493480</v>
      </c>
    </row>
    <row r="34" spans="1:20" x14ac:dyDescent="0.3">
      <c r="A34" s="2" t="s">
        <v>46</v>
      </c>
      <c r="B34" s="4" t="s">
        <v>67</v>
      </c>
      <c r="C34" s="2" t="s">
        <v>189</v>
      </c>
      <c r="D34" s="2" t="s">
        <v>235</v>
      </c>
      <c r="E34" s="2"/>
      <c r="F34" s="2"/>
      <c r="G34" s="5">
        <v>3</v>
      </c>
      <c r="H34" s="5">
        <v>1</v>
      </c>
      <c r="I34" s="5">
        <f t="shared" si="0"/>
        <v>2</v>
      </c>
      <c r="J34" s="9">
        <f t="shared" si="1"/>
        <v>0.66666666666666663</v>
      </c>
      <c r="K34" s="7">
        <v>1750000</v>
      </c>
      <c r="L34" s="7">
        <v>145833</v>
      </c>
      <c r="M34" s="7">
        <v>994</v>
      </c>
      <c r="N34" s="8">
        <f t="shared" si="2"/>
        <v>1988</v>
      </c>
      <c r="O34" s="8">
        <f t="shared" si="3"/>
        <v>9940</v>
      </c>
      <c r="P34" s="8">
        <f t="shared" si="4"/>
        <v>39760</v>
      </c>
      <c r="Q34" s="8">
        <f t="shared" si="5"/>
        <v>477120</v>
      </c>
      <c r="R34" s="8">
        <v>1650</v>
      </c>
      <c r="S34" s="10">
        <v>19800</v>
      </c>
      <c r="T34" s="11">
        <f t="shared" si="6"/>
        <v>457320</v>
      </c>
    </row>
    <row r="35" spans="1:20" x14ac:dyDescent="0.3">
      <c r="A35" s="2" t="s">
        <v>46</v>
      </c>
      <c r="B35" s="2" t="s">
        <v>63</v>
      </c>
      <c r="C35" s="2"/>
      <c r="D35" s="2"/>
      <c r="E35" s="2"/>
      <c r="F35" s="2"/>
      <c r="G35" s="5">
        <v>0</v>
      </c>
      <c r="H35" s="5">
        <v>0</v>
      </c>
      <c r="I35" s="5">
        <f t="shared" si="0"/>
        <v>0</v>
      </c>
      <c r="J35" s="9">
        <v>0</v>
      </c>
      <c r="K35" s="7">
        <v>3000000</v>
      </c>
      <c r="L35" s="7">
        <v>250000</v>
      </c>
      <c r="M35" s="7">
        <v>1705</v>
      </c>
      <c r="N35" s="8">
        <f t="shared" si="2"/>
        <v>0</v>
      </c>
      <c r="O35" s="8">
        <f t="shared" si="3"/>
        <v>0</v>
      </c>
      <c r="P35" s="8">
        <f t="shared" si="4"/>
        <v>0</v>
      </c>
      <c r="Q35" s="8">
        <f t="shared" si="5"/>
        <v>0</v>
      </c>
      <c r="R35" s="8">
        <v>0</v>
      </c>
      <c r="S35" s="8">
        <v>0</v>
      </c>
      <c r="T35" s="11">
        <f t="shared" si="6"/>
        <v>0</v>
      </c>
    </row>
    <row r="36" spans="1:20" x14ac:dyDescent="0.3">
      <c r="A36" s="2" t="s">
        <v>73</v>
      </c>
      <c r="B36" s="4" t="s">
        <v>67</v>
      </c>
      <c r="C36" s="2" t="s">
        <v>189</v>
      </c>
      <c r="D36" s="2" t="s">
        <v>229</v>
      </c>
      <c r="E36" s="2" t="s">
        <v>228</v>
      </c>
      <c r="F36" s="2" t="s">
        <v>234</v>
      </c>
      <c r="G36" s="5">
        <v>5</v>
      </c>
      <c r="H36" s="5">
        <v>1</v>
      </c>
      <c r="I36" s="5">
        <f t="shared" si="0"/>
        <v>4</v>
      </c>
      <c r="J36" s="9">
        <f t="shared" si="1"/>
        <v>0.8</v>
      </c>
      <c r="K36" s="7">
        <v>2300000</v>
      </c>
      <c r="L36" s="7">
        <v>191667</v>
      </c>
      <c r="M36" s="7">
        <v>1309</v>
      </c>
      <c r="N36" s="8">
        <f t="shared" si="2"/>
        <v>5236</v>
      </c>
      <c r="O36" s="8">
        <f t="shared" si="3"/>
        <v>26180</v>
      </c>
      <c r="P36" s="8">
        <f t="shared" si="4"/>
        <v>104720</v>
      </c>
      <c r="Q36" s="8">
        <f t="shared" si="5"/>
        <v>1256640</v>
      </c>
      <c r="R36" s="8">
        <v>1650</v>
      </c>
      <c r="S36" s="10">
        <v>19800</v>
      </c>
      <c r="T36" s="11">
        <f t="shared" si="6"/>
        <v>1236840</v>
      </c>
    </row>
    <row r="37" spans="1:20" x14ac:dyDescent="0.3">
      <c r="A37" s="2" t="s">
        <v>73</v>
      </c>
      <c r="B37" s="4" t="s">
        <v>67</v>
      </c>
      <c r="C37" s="2" t="s">
        <v>83</v>
      </c>
      <c r="D37" s="2"/>
      <c r="E37" s="2"/>
      <c r="F37" s="2"/>
      <c r="G37" s="5">
        <v>3</v>
      </c>
      <c r="H37" s="5">
        <v>1</v>
      </c>
      <c r="I37" s="5">
        <f t="shared" si="0"/>
        <v>2</v>
      </c>
      <c r="J37" s="9">
        <f t="shared" si="1"/>
        <v>0.66666666666666663</v>
      </c>
      <c r="K37" s="7">
        <v>2300000</v>
      </c>
      <c r="L37" s="7">
        <v>191667</v>
      </c>
      <c r="M37" s="7">
        <v>1309</v>
      </c>
      <c r="N37" s="8">
        <f t="shared" si="2"/>
        <v>2618</v>
      </c>
      <c r="O37" s="8">
        <f t="shared" si="3"/>
        <v>13090</v>
      </c>
      <c r="P37" s="8">
        <f t="shared" si="4"/>
        <v>52360</v>
      </c>
      <c r="Q37" s="8">
        <f t="shared" si="5"/>
        <v>628320</v>
      </c>
      <c r="R37" s="8">
        <v>1650</v>
      </c>
      <c r="S37" s="10">
        <v>19800</v>
      </c>
      <c r="T37" s="11">
        <f t="shared" si="6"/>
        <v>608520</v>
      </c>
    </row>
    <row r="38" spans="1:20" x14ac:dyDescent="0.3">
      <c r="A38" s="2" t="s">
        <v>46</v>
      </c>
      <c r="B38" s="4" t="s">
        <v>67</v>
      </c>
      <c r="C38" s="2" t="s">
        <v>189</v>
      </c>
      <c r="D38" s="2" t="s">
        <v>229</v>
      </c>
      <c r="E38" s="2" t="s">
        <v>235</v>
      </c>
      <c r="F38" s="2" t="s">
        <v>228</v>
      </c>
      <c r="G38" s="5">
        <v>5</v>
      </c>
      <c r="H38" s="5">
        <v>1</v>
      </c>
      <c r="I38" s="5">
        <f t="shared" si="0"/>
        <v>4</v>
      </c>
      <c r="J38" s="9">
        <f t="shared" si="1"/>
        <v>0.8</v>
      </c>
      <c r="K38" s="7">
        <v>1750000</v>
      </c>
      <c r="L38" s="7">
        <v>145833</v>
      </c>
      <c r="M38" s="7">
        <v>994</v>
      </c>
      <c r="N38" s="8">
        <f t="shared" si="2"/>
        <v>3976</v>
      </c>
      <c r="O38" s="8">
        <f t="shared" si="3"/>
        <v>19880</v>
      </c>
      <c r="P38" s="8">
        <f t="shared" si="4"/>
        <v>79520</v>
      </c>
      <c r="Q38" s="8">
        <f t="shared" si="5"/>
        <v>954240</v>
      </c>
      <c r="R38" s="8">
        <v>1650</v>
      </c>
      <c r="S38" s="10">
        <v>19800</v>
      </c>
      <c r="T38" s="11">
        <f t="shared" si="6"/>
        <v>934440</v>
      </c>
    </row>
    <row r="39" spans="1:20" x14ac:dyDescent="0.3">
      <c r="A39" s="2" t="s">
        <v>57</v>
      </c>
      <c r="B39" s="3" t="s">
        <v>47</v>
      </c>
      <c r="C39" s="2" t="s">
        <v>189</v>
      </c>
      <c r="D39" s="2" t="s">
        <v>229</v>
      </c>
      <c r="E39" s="2" t="s">
        <v>228</v>
      </c>
      <c r="F39" s="2"/>
      <c r="G39" s="5">
        <v>5</v>
      </c>
      <c r="H39" s="5">
        <v>3</v>
      </c>
      <c r="I39" s="5">
        <f t="shared" si="0"/>
        <v>2</v>
      </c>
      <c r="J39" s="9">
        <f t="shared" si="1"/>
        <v>0.4</v>
      </c>
      <c r="K39" s="7">
        <v>1250000</v>
      </c>
      <c r="L39" s="7">
        <v>104167</v>
      </c>
      <c r="M39" s="7">
        <v>710</v>
      </c>
      <c r="N39" s="8">
        <f t="shared" si="2"/>
        <v>1420</v>
      </c>
      <c r="O39" s="8">
        <f t="shared" si="3"/>
        <v>7100</v>
      </c>
      <c r="P39" s="8">
        <f t="shared" si="4"/>
        <v>28400</v>
      </c>
      <c r="Q39" s="8">
        <f t="shared" si="5"/>
        <v>340800</v>
      </c>
      <c r="R39" s="8">
        <v>1650</v>
      </c>
      <c r="S39" s="10">
        <v>19800</v>
      </c>
      <c r="T39" s="11">
        <f t="shared" si="6"/>
        <v>321000</v>
      </c>
    </row>
    <row r="40" spans="1:20" x14ac:dyDescent="0.3">
      <c r="A40" s="2" t="s">
        <v>73</v>
      </c>
      <c r="B40" s="2" t="s">
        <v>30</v>
      </c>
      <c r="C40" s="2" t="s">
        <v>189</v>
      </c>
      <c r="D40" s="2"/>
      <c r="E40" s="2"/>
      <c r="F40" s="2"/>
      <c r="G40" s="5">
        <v>1</v>
      </c>
      <c r="H40" s="5">
        <v>1</v>
      </c>
      <c r="I40" s="5">
        <f t="shared" si="0"/>
        <v>0</v>
      </c>
      <c r="J40" s="9">
        <f t="shared" si="1"/>
        <v>0</v>
      </c>
      <c r="K40" s="7">
        <v>500000</v>
      </c>
      <c r="L40" s="7">
        <v>41667</v>
      </c>
      <c r="M40" s="7">
        <v>284</v>
      </c>
      <c r="N40" s="8">
        <f t="shared" si="2"/>
        <v>0</v>
      </c>
      <c r="O40" s="8">
        <f t="shared" si="3"/>
        <v>0</v>
      </c>
      <c r="P40" s="8">
        <f t="shared" si="4"/>
        <v>0</v>
      </c>
      <c r="Q40" s="8">
        <f t="shared" si="5"/>
        <v>0</v>
      </c>
      <c r="R40" s="8">
        <v>1650</v>
      </c>
      <c r="S40" s="10">
        <v>19800</v>
      </c>
      <c r="T40" s="11">
        <f t="shared" si="6"/>
        <v>-19800</v>
      </c>
    </row>
    <row r="41" spans="1:20" x14ac:dyDescent="0.3">
      <c r="A41" s="2" t="s">
        <v>227</v>
      </c>
      <c r="B41" s="3" t="s">
        <v>47</v>
      </c>
      <c r="C41" s="2" t="s">
        <v>232</v>
      </c>
      <c r="D41" s="2" t="s">
        <v>228</v>
      </c>
      <c r="E41" s="2" t="s">
        <v>234</v>
      </c>
      <c r="F41" s="2"/>
      <c r="G41" s="5">
        <v>3</v>
      </c>
      <c r="H41" s="5">
        <v>1</v>
      </c>
      <c r="I41" s="5">
        <f t="shared" si="0"/>
        <v>2</v>
      </c>
      <c r="J41" s="9">
        <f t="shared" si="1"/>
        <v>0.66666666666666663</v>
      </c>
      <c r="K41" s="7">
        <v>1000000</v>
      </c>
      <c r="L41" s="7">
        <v>83333</v>
      </c>
      <c r="M41" s="7">
        <v>568</v>
      </c>
      <c r="N41" s="8">
        <f t="shared" si="2"/>
        <v>1136</v>
      </c>
      <c r="O41" s="8">
        <f t="shared" si="3"/>
        <v>5680</v>
      </c>
      <c r="P41" s="8">
        <f t="shared" si="4"/>
        <v>22720</v>
      </c>
      <c r="Q41" s="8">
        <f t="shared" si="5"/>
        <v>272640</v>
      </c>
      <c r="R41" s="8">
        <v>1650</v>
      </c>
      <c r="S41" s="10">
        <v>19800</v>
      </c>
      <c r="T41" s="11">
        <f t="shared" si="6"/>
        <v>252840</v>
      </c>
    </row>
    <row r="42" spans="1:20" x14ac:dyDescent="0.3">
      <c r="A42" s="2" t="s">
        <v>62</v>
      </c>
      <c r="B42" s="2" t="s">
        <v>63</v>
      </c>
      <c r="C42" s="2" t="s">
        <v>189</v>
      </c>
      <c r="D42" s="2" t="s">
        <v>235</v>
      </c>
      <c r="E42" s="2"/>
      <c r="F42" s="2"/>
      <c r="G42" s="5">
        <v>3</v>
      </c>
      <c r="H42" s="5">
        <v>1</v>
      </c>
      <c r="I42" s="5">
        <f t="shared" si="0"/>
        <v>2</v>
      </c>
      <c r="J42" s="9">
        <f t="shared" si="1"/>
        <v>0.66666666666666663</v>
      </c>
      <c r="K42" s="7">
        <v>4000000</v>
      </c>
      <c r="L42" s="7">
        <v>333333</v>
      </c>
      <c r="M42" s="7">
        <v>2273</v>
      </c>
      <c r="N42" s="8">
        <f t="shared" si="2"/>
        <v>4546</v>
      </c>
      <c r="O42" s="8">
        <f t="shared" si="3"/>
        <v>22730</v>
      </c>
      <c r="P42" s="8">
        <f t="shared" si="4"/>
        <v>90920</v>
      </c>
      <c r="Q42" s="8">
        <f t="shared" si="5"/>
        <v>1091040</v>
      </c>
      <c r="R42" s="8">
        <v>1650</v>
      </c>
      <c r="S42" s="10">
        <v>19800</v>
      </c>
      <c r="T42" s="11">
        <f t="shared" si="6"/>
        <v>1071240</v>
      </c>
    </row>
    <row r="43" spans="1:20" x14ac:dyDescent="0.3">
      <c r="A43" s="2" t="s">
        <v>46</v>
      </c>
      <c r="B43" s="4" t="s">
        <v>67</v>
      </c>
      <c r="C43" s="2" t="s">
        <v>189</v>
      </c>
      <c r="D43" s="2" t="s">
        <v>235</v>
      </c>
      <c r="E43" s="2" t="s">
        <v>228</v>
      </c>
      <c r="F43" s="2"/>
      <c r="G43" s="5">
        <v>5</v>
      </c>
      <c r="H43" s="5">
        <v>3</v>
      </c>
      <c r="I43" s="5">
        <f t="shared" si="0"/>
        <v>2</v>
      </c>
      <c r="J43" s="9">
        <f t="shared" si="1"/>
        <v>0.4</v>
      </c>
      <c r="K43" s="7">
        <v>1750000</v>
      </c>
      <c r="L43" s="7">
        <v>145833</v>
      </c>
      <c r="M43" s="7">
        <v>994</v>
      </c>
      <c r="N43" s="8">
        <f t="shared" si="2"/>
        <v>1988</v>
      </c>
      <c r="O43" s="8">
        <f t="shared" si="3"/>
        <v>9940</v>
      </c>
      <c r="P43" s="8">
        <f t="shared" si="4"/>
        <v>39760</v>
      </c>
      <c r="Q43" s="8">
        <f t="shared" si="5"/>
        <v>477120</v>
      </c>
      <c r="R43" s="8">
        <v>1650</v>
      </c>
      <c r="S43" s="10">
        <v>19800</v>
      </c>
      <c r="T43" s="11">
        <f t="shared" si="6"/>
        <v>457320</v>
      </c>
    </row>
    <row r="44" spans="1:20" x14ac:dyDescent="0.3">
      <c r="A44" s="2" t="s">
        <v>62</v>
      </c>
      <c r="B44" s="2" t="s">
        <v>63</v>
      </c>
      <c r="C44" s="2" t="s">
        <v>189</v>
      </c>
      <c r="D44" s="2" t="s">
        <v>235</v>
      </c>
      <c r="E44" s="2" t="s">
        <v>228</v>
      </c>
      <c r="F44" s="2"/>
      <c r="G44" s="5">
        <v>5</v>
      </c>
      <c r="H44" s="5">
        <v>3</v>
      </c>
      <c r="I44" s="5">
        <f t="shared" si="0"/>
        <v>2</v>
      </c>
      <c r="J44" s="9">
        <f t="shared" si="1"/>
        <v>0.4</v>
      </c>
      <c r="K44" s="7">
        <v>4000000</v>
      </c>
      <c r="L44" s="7">
        <v>333333</v>
      </c>
      <c r="M44" s="7">
        <v>2273</v>
      </c>
      <c r="N44" s="8">
        <f t="shared" si="2"/>
        <v>4546</v>
      </c>
      <c r="O44" s="8">
        <f t="shared" si="3"/>
        <v>22730</v>
      </c>
      <c r="P44" s="8">
        <f t="shared" si="4"/>
        <v>90920</v>
      </c>
      <c r="Q44" s="8">
        <f t="shared" si="5"/>
        <v>1091040</v>
      </c>
      <c r="R44" s="8">
        <v>1650</v>
      </c>
      <c r="S44" s="10">
        <v>19800</v>
      </c>
      <c r="T44" s="11">
        <f t="shared" si="6"/>
        <v>1071240</v>
      </c>
    </row>
    <row r="45" spans="1:20" x14ac:dyDescent="0.3">
      <c r="A45" s="2" t="s">
        <v>108</v>
      </c>
      <c r="B45" s="2" t="s">
        <v>30</v>
      </c>
      <c r="C45" s="2"/>
      <c r="D45" s="2"/>
      <c r="E45" s="2"/>
      <c r="F45" s="2"/>
      <c r="G45" s="5">
        <v>0</v>
      </c>
      <c r="H45" s="5">
        <v>0</v>
      </c>
      <c r="I45" s="5">
        <f t="shared" si="0"/>
        <v>0</v>
      </c>
      <c r="J45" s="9">
        <v>0</v>
      </c>
      <c r="K45" s="7">
        <v>400000</v>
      </c>
      <c r="L45" s="7">
        <v>33333</v>
      </c>
      <c r="M45" s="7">
        <v>227</v>
      </c>
      <c r="N45" s="8">
        <f t="shared" si="2"/>
        <v>0</v>
      </c>
      <c r="O45" s="8">
        <f t="shared" si="3"/>
        <v>0</v>
      </c>
      <c r="P45" s="8">
        <f t="shared" si="4"/>
        <v>0</v>
      </c>
      <c r="Q45" s="8">
        <f t="shared" si="5"/>
        <v>0</v>
      </c>
      <c r="R45" s="8">
        <v>0</v>
      </c>
      <c r="S45" s="8">
        <v>0</v>
      </c>
      <c r="T45" s="11">
        <f t="shared" si="6"/>
        <v>0</v>
      </c>
    </row>
    <row r="46" spans="1:20" x14ac:dyDescent="0.3">
      <c r="A46" s="2" t="s">
        <v>62</v>
      </c>
      <c r="B46" s="2" t="s">
        <v>63</v>
      </c>
      <c r="C46" s="2" t="s">
        <v>189</v>
      </c>
      <c r="D46" s="2" t="s">
        <v>229</v>
      </c>
      <c r="E46" s="2" t="s">
        <v>235</v>
      </c>
      <c r="F46" s="2"/>
      <c r="G46" s="5">
        <v>3</v>
      </c>
      <c r="H46" s="5">
        <v>1</v>
      </c>
      <c r="I46" s="5">
        <f t="shared" si="0"/>
        <v>2</v>
      </c>
      <c r="J46" s="9">
        <f t="shared" si="1"/>
        <v>0.66666666666666663</v>
      </c>
      <c r="K46" s="7">
        <v>4000000</v>
      </c>
      <c r="L46" s="7">
        <v>333333</v>
      </c>
      <c r="M46" s="7">
        <v>2273</v>
      </c>
      <c r="N46" s="8">
        <f t="shared" si="2"/>
        <v>4546</v>
      </c>
      <c r="O46" s="8">
        <f t="shared" si="3"/>
        <v>22730</v>
      </c>
      <c r="P46" s="8">
        <f t="shared" si="4"/>
        <v>90920</v>
      </c>
      <c r="Q46" s="8">
        <f t="shared" si="5"/>
        <v>1091040</v>
      </c>
      <c r="R46" s="8">
        <v>1650</v>
      </c>
      <c r="S46" s="10">
        <v>19800</v>
      </c>
      <c r="T46" s="11">
        <f t="shared" si="6"/>
        <v>1071240</v>
      </c>
    </row>
    <row r="47" spans="1:20" x14ac:dyDescent="0.3">
      <c r="A47" s="2" t="s">
        <v>108</v>
      </c>
      <c r="B47" s="4" t="s">
        <v>67</v>
      </c>
      <c r="C47" s="2" t="s">
        <v>189</v>
      </c>
      <c r="D47" s="2" t="s">
        <v>231</v>
      </c>
      <c r="E47" s="2"/>
      <c r="F47" s="2"/>
      <c r="G47" s="5">
        <v>9</v>
      </c>
      <c r="H47" s="5">
        <v>3</v>
      </c>
      <c r="I47" s="5">
        <f t="shared" si="0"/>
        <v>6</v>
      </c>
      <c r="J47" s="9">
        <f t="shared" si="1"/>
        <v>0.66666666666666663</v>
      </c>
      <c r="K47" s="7">
        <v>1500000</v>
      </c>
      <c r="L47" s="7">
        <v>125000</v>
      </c>
      <c r="M47" s="7">
        <v>852</v>
      </c>
      <c r="N47" s="8">
        <f t="shared" si="2"/>
        <v>5112</v>
      </c>
      <c r="O47" s="8">
        <f t="shared" si="3"/>
        <v>25560</v>
      </c>
      <c r="P47" s="8">
        <f t="shared" si="4"/>
        <v>102240</v>
      </c>
      <c r="Q47" s="8">
        <f t="shared" si="5"/>
        <v>1226880</v>
      </c>
      <c r="R47" s="8">
        <v>1650</v>
      </c>
      <c r="S47" s="10">
        <v>19800</v>
      </c>
      <c r="T47" s="11">
        <f t="shared" si="6"/>
        <v>1207080</v>
      </c>
    </row>
    <row r="48" spans="1:20" x14ac:dyDescent="0.3">
      <c r="A48" s="2" t="s">
        <v>73</v>
      </c>
      <c r="B48" s="3" t="s">
        <v>47</v>
      </c>
      <c r="C48" s="2" t="s">
        <v>189</v>
      </c>
      <c r="D48" s="2" t="s">
        <v>229</v>
      </c>
      <c r="E48" s="2"/>
      <c r="F48" s="2"/>
      <c r="G48" s="5">
        <v>1</v>
      </c>
      <c r="H48" s="5">
        <v>1</v>
      </c>
      <c r="I48" s="5">
        <f t="shared" si="0"/>
        <v>0</v>
      </c>
      <c r="J48" s="9">
        <f t="shared" si="1"/>
        <v>0</v>
      </c>
      <c r="K48" s="7">
        <v>1150000</v>
      </c>
      <c r="L48" s="7">
        <v>95833</v>
      </c>
      <c r="M48" s="7">
        <v>653</v>
      </c>
      <c r="N48" s="8">
        <f t="shared" si="2"/>
        <v>0</v>
      </c>
      <c r="O48" s="8">
        <f t="shared" si="3"/>
        <v>0</v>
      </c>
      <c r="P48" s="8">
        <f t="shared" si="4"/>
        <v>0</v>
      </c>
      <c r="Q48" s="8">
        <f t="shared" si="5"/>
        <v>0</v>
      </c>
      <c r="R48" s="8">
        <v>1650</v>
      </c>
      <c r="S48" s="10">
        <v>19800</v>
      </c>
      <c r="T48" s="11">
        <f t="shared" si="6"/>
        <v>-19800</v>
      </c>
    </row>
    <row r="49" spans="1:21" x14ac:dyDescent="0.3">
      <c r="A49" s="2" t="s">
        <v>73</v>
      </c>
      <c r="B49" s="2" t="s">
        <v>30</v>
      </c>
      <c r="C49" s="2"/>
      <c r="D49" s="2"/>
      <c r="E49" s="2"/>
      <c r="F49" s="2"/>
      <c r="G49" s="5">
        <v>0</v>
      </c>
      <c r="H49" s="5">
        <v>0</v>
      </c>
      <c r="I49" s="5">
        <f t="shared" si="0"/>
        <v>0</v>
      </c>
      <c r="J49" s="9">
        <v>0</v>
      </c>
      <c r="K49" s="7">
        <v>500000</v>
      </c>
      <c r="L49" s="7">
        <v>41667</v>
      </c>
      <c r="M49" s="7">
        <v>284</v>
      </c>
      <c r="N49" s="8">
        <f t="shared" si="2"/>
        <v>0</v>
      </c>
      <c r="O49" s="8">
        <f t="shared" si="3"/>
        <v>0</v>
      </c>
      <c r="P49" s="8">
        <f t="shared" si="4"/>
        <v>0</v>
      </c>
      <c r="Q49" s="8">
        <f t="shared" si="5"/>
        <v>0</v>
      </c>
      <c r="R49" s="8">
        <v>0</v>
      </c>
      <c r="S49" s="8">
        <v>0</v>
      </c>
      <c r="T49" s="11">
        <f t="shared" si="6"/>
        <v>0</v>
      </c>
    </row>
    <row r="50" spans="1:21" x14ac:dyDescent="0.3">
      <c r="A50" s="2" t="s">
        <v>73</v>
      </c>
      <c r="B50" s="3" t="s">
        <v>47</v>
      </c>
      <c r="C50" s="2" t="s">
        <v>189</v>
      </c>
      <c r="D50" s="2" t="s">
        <v>229</v>
      </c>
      <c r="E50" s="2"/>
      <c r="F50" s="2"/>
      <c r="G50" s="5">
        <v>3</v>
      </c>
      <c r="H50" s="5">
        <v>1</v>
      </c>
      <c r="I50" s="5">
        <f t="shared" si="0"/>
        <v>2</v>
      </c>
      <c r="J50" s="9">
        <f t="shared" si="1"/>
        <v>0.66666666666666663</v>
      </c>
      <c r="K50" s="7">
        <v>1150000</v>
      </c>
      <c r="L50" s="7">
        <v>95833</v>
      </c>
      <c r="M50" s="7">
        <v>653</v>
      </c>
      <c r="N50" s="8">
        <f t="shared" si="2"/>
        <v>1306</v>
      </c>
      <c r="O50" s="8">
        <f t="shared" si="3"/>
        <v>6530</v>
      </c>
      <c r="P50" s="8">
        <f t="shared" si="4"/>
        <v>26120</v>
      </c>
      <c r="Q50" s="8">
        <f t="shared" si="5"/>
        <v>313440</v>
      </c>
      <c r="R50" s="8">
        <v>1650</v>
      </c>
      <c r="S50" s="10">
        <v>19800</v>
      </c>
      <c r="T50" s="11">
        <f t="shared" si="6"/>
        <v>293640</v>
      </c>
    </row>
    <row r="51" spans="1:21" x14ac:dyDescent="0.3">
      <c r="A51" s="2" t="s">
        <v>73</v>
      </c>
      <c r="B51" s="3" t="s">
        <v>47</v>
      </c>
      <c r="C51" s="2" t="s">
        <v>83</v>
      </c>
      <c r="D51" s="2"/>
      <c r="E51" s="2"/>
      <c r="F51" s="2"/>
      <c r="G51" s="5">
        <v>9</v>
      </c>
      <c r="H51" s="5">
        <v>3</v>
      </c>
      <c r="I51" s="5">
        <f t="shared" si="0"/>
        <v>6</v>
      </c>
      <c r="J51" s="9">
        <f t="shared" si="1"/>
        <v>0.66666666666666663</v>
      </c>
      <c r="K51" s="7">
        <v>1150000</v>
      </c>
      <c r="L51" s="7">
        <v>95833</v>
      </c>
      <c r="M51" s="7">
        <v>653</v>
      </c>
      <c r="N51" s="8">
        <f t="shared" si="2"/>
        <v>3918</v>
      </c>
      <c r="O51" s="8">
        <f t="shared" si="3"/>
        <v>19590</v>
      </c>
      <c r="P51" s="8">
        <f t="shared" si="4"/>
        <v>78360</v>
      </c>
      <c r="Q51" s="8">
        <f t="shared" si="5"/>
        <v>940320</v>
      </c>
      <c r="R51" s="8">
        <v>1650</v>
      </c>
      <c r="S51" s="10">
        <v>19800</v>
      </c>
      <c r="T51" s="11">
        <f t="shared" si="6"/>
        <v>920520</v>
      </c>
    </row>
    <row r="52" spans="1:21" x14ac:dyDescent="0.3">
      <c r="K52" s="8">
        <f>SUM(K1:K51)</f>
        <v>87500000</v>
      </c>
      <c r="Q52" s="8">
        <f>SUM(Q1:Q51)</f>
        <v>28391040</v>
      </c>
      <c r="S52" s="5">
        <f>SUM(S1:S51)</f>
        <v>831600</v>
      </c>
      <c r="T52" s="11">
        <f>SUM(T1:T51)</f>
        <v>27559440</v>
      </c>
    </row>
    <row r="53" spans="1:21" x14ac:dyDescent="0.3">
      <c r="U53" s="17">
        <f>(T52/S52)</f>
        <v>33.140259740259744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EBDD-D95F-4933-805D-750297DB7AEB}">
  <dimension ref="A1:BG51"/>
  <sheetViews>
    <sheetView tabSelected="1" workbookViewId="0">
      <selection sqref="A1:A1048576"/>
    </sheetView>
  </sheetViews>
  <sheetFormatPr defaultRowHeight="14.4" x14ac:dyDescent="0.3"/>
  <cols>
    <col min="1" max="1" width="7" style="5" customWidth="1"/>
    <col min="2" max="2" width="28.44140625" style="5" bestFit="1" customWidth="1"/>
    <col min="3" max="3" width="11.21875" style="5" bestFit="1" customWidth="1"/>
    <col min="4" max="4" width="15.33203125" style="5" bestFit="1" customWidth="1"/>
    <col min="5" max="5" width="8.33203125" style="5" bestFit="1" customWidth="1"/>
    <col min="6" max="6" width="52.109375" style="5" bestFit="1" customWidth="1"/>
    <col min="7" max="7" width="15.109375" style="5" bestFit="1" customWidth="1"/>
    <col min="8" max="8" width="13.77734375" style="5" bestFit="1" customWidth="1"/>
    <col min="9" max="9" width="112" style="5" bestFit="1" customWidth="1"/>
    <col min="10" max="10" width="14.44140625" style="5" bestFit="1" customWidth="1"/>
    <col min="11" max="11" width="16.109375" style="5" bestFit="1" customWidth="1"/>
    <col min="12" max="12" width="15.109375" style="5" bestFit="1" customWidth="1"/>
    <col min="13" max="13" width="14" style="5" bestFit="1" customWidth="1"/>
    <col min="14" max="14" width="12.6640625" style="5" bestFit="1" customWidth="1"/>
    <col min="15" max="15" width="12.5546875" style="5" bestFit="1" customWidth="1"/>
    <col min="16" max="16" width="13.77734375" style="5" bestFit="1" customWidth="1"/>
    <col min="17" max="17" width="15.33203125" style="5" bestFit="1" customWidth="1"/>
    <col min="18" max="18" width="21.5546875" style="5" customWidth="1"/>
    <col min="19" max="19" width="12.6640625" style="5" bestFit="1" customWidth="1"/>
    <col min="20" max="20" width="13.77734375" style="5" bestFit="1" customWidth="1"/>
    <col min="21" max="21" width="14.88671875" style="5" bestFit="1" customWidth="1"/>
    <col min="22" max="22" width="14.5546875" style="5" bestFit="1" customWidth="1"/>
    <col min="23" max="23" width="21.109375" style="5" bestFit="1" customWidth="1"/>
    <col min="24" max="24" width="12.6640625" style="5" bestFit="1" customWidth="1"/>
    <col min="25" max="25" width="15.109375" style="5" bestFit="1" customWidth="1"/>
    <col min="26" max="26" width="15.6640625" style="5" bestFit="1" customWidth="1"/>
    <col min="27" max="27" width="17" style="5" bestFit="1" customWidth="1"/>
    <col min="28" max="28" width="17.44140625" style="5" bestFit="1" customWidth="1"/>
    <col min="29" max="29" width="15.77734375" style="5" bestFit="1" customWidth="1"/>
    <col min="30" max="30" width="18.77734375" style="5" bestFit="1" customWidth="1"/>
    <col min="31" max="31" width="20.33203125" style="5" bestFit="1" customWidth="1"/>
    <col min="32" max="32" width="18.77734375" style="5" bestFit="1" customWidth="1"/>
    <col min="33" max="33" width="18.6640625" style="5" bestFit="1" customWidth="1"/>
    <col min="34" max="34" width="19.5546875" style="5" bestFit="1" customWidth="1"/>
    <col min="35" max="35" width="26.21875" style="5" bestFit="1" customWidth="1"/>
    <col min="36" max="36" width="19.44140625" style="5" bestFit="1" customWidth="1"/>
    <col min="37" max="37" width="17.21875" style="5" bestFit="1" customWidth="1"/>
    <col min="38" max="38" width="16" style="5" bestFit="1" customWidth="1"/>
    <col min="39" max="39" width="12.6640625" style="5" bestFit="1" customWidth="1"/>
    <col min="40" max="40" width="24.77734375" style="5" bestFit="1" customWidth="1"/>
    <col min="41" max="41" width="16.5546875" style="5" bestFit="1" customWidth="1"/>
    <col min="42" max="42" width="19.109375" style="5" bestFit="1" customWidth="1"/>
    <col min="43" max="43" width="19.6640625" style="5" bestFit="1" customWidth="1"/>
    <col min="44" max="44" width="19.44140625" style="5" bestFit="1" customWidth="1"/>
    <col min="45" max="45" width="16.33203125" style="5" bestFit="1" customWidth="1"/>
    <col min="46" max="46" width="14.77734375" style="5" bestFit="1" customWidth="1"/>
    <col min="47" max="47" width="15.6640625" style="5" bestFit="1" customWidth="1"/>
    <col min="48" max="48" width="8.88671875" style="5"/>
    <col min="49" max="49" width="8.88671875" style="9"/>
    <col min="50" max="50" width="8" style="5" bestFit="1" customWidth="1"/>
    <col min="51" max="51" width="9.21875" style="5" bestFit="1" customWidth="1"/>
    <col min="52" max="52" width="11.88671875" style="5" bestFit="1" customWidth="1"/>
    <col min="53" max="53" width="11" style="5" bestFit="1" customWidth="1"/>
    <col min="54" max="54" width="12.88671875" style="5" bestFit="1" customWidth="1"/>
    <col min="55" max="55" width="12.33203125" style="5" bestFit="1" customWidth="1"/>
    <col min="56" max="56" width="12.44140625" style="5" bestFit="1" customWidth="1"/>
    <col min="57" max="57" width="16.44140625" style="5" bestFit="1" customWidth="1"/>
    <col min="58" max="58" width="15.5546875" style="5" bestFit="1" customWidth="1"/>
    <col min="59" max="59" width="17" style="5" bestFit="1" customWidth="1"/>
    <col min="60" max="16384" width="8.88671875" style="5"/>
  </cols>
  <sheetData>
    <row r="1" spans="1:59" s="16" customFormat="1" ht="15.6" x14ac:dyDescent="0.3">
      <c r="A1" s="13" t="s">
        <v>277</v>
      </c>
      <c r="B1" s="13" t="s">
        <v>3</v>
      </c>
      <c r="C1" s="13" t="s">
        <v>278</v>
      </c>
      <c r="D1" s="13" t="s">
        <v>279</v>
      </c>
      <c r="E1" s="13" t="s">
        <v>280</v>
      </c>
      <c r="F1" s="13" t="s">
        <v>281</v>
      </c>
      <c r="G1" s="13" t="s">
        <v>282</v>
      </c>
      <c r="H1" s="13" t="s">
        <v>283</v>
      </c>
      <c r="I1" s="13" t="s">
        <v>284</v>
      </c>
      <c r="J1" s="13" t="s">
        <v>285</v>
      </c>
      <c r="K1" s="14" t="s">
        <v>286</v>
      </c>
      <c r="L1" s="14" t="s">
        <v>287</v>
      </c>
      <c r="M1" s="14" t="s">
        <v>288</v>
      </c>
      <c r="N1" s="14" t="s">
        <v>289</v>
      </c>
      <c r="O1" s="14" t="s">
        <v>290</v>
      </c>
      <c r="P1" s="14" t="s">
        <v>291</v>
      </c>
      <c r="Q1" s="14" t="s">
        <v>292</v>
      </c>
      <c r="R1" s="13" t="s">
        <v>293</v>
      </c>
      <c r="S1" s="13" t="s">
        <v>294</v>
      </c>
      <c r="T1" s="15" t="s">
        <v>295</v>
      </c>
      <c r="U1" s="16" t="s">
        <v>296</v>
      </c>
      <c r="V1" s="16" t="s">
        <v>297</v>
      </c>
      <c r="W1" s="16" t="s">
        <v>298</v>
      </c>
      <c r="X1" s="16" t="s">
        <v>299</v>
      </c>
      <c r="Y1" s="16" t="s">
        <v>300</v>
      </c>
      <c r="Z1" s="16" t="s">
        <v>301</v>
      </c>
      <c r="AA1" s="16" t="s">
        <v>302</v>
      </c>
      <c r="AB1" s="16" t="s">
        <v>254</v>
      </c>
      <c r="AC1" s="16" t="s">
        <v>255</v>
      </c>
      <c r="AD1" s="16" t="s">
        <v>256</v>
      </c>
      <c r="AE1" s="16" t="s">
        <v>257</v>
      </c>
      <c r="AF1" s="16" t="s">
        <v>258</v>
      </c>
      <c r="AG1" s="16" t="s">
        <v>259</v>
      </c>
      <c r="AH1" s="16" t="s">
        <v>260</v>
      </c>
      <c r="AI1" s="16" t="s">
        <v>261</v>
      </c>
      <c r="AJ1" s="16" t="s">
        <v>262</v>
      </c>
      <c r="AK1" s="16" t="s">
        <v>263</v>
      </c>
      <c r="AL1" s="16" t="s">
        <v>264</v>
      </c>
      <c r="AM1" s="16" t="s">
        <v>265</v>
      </c>
      <c r="AN1" s="16" t="s">
        <v>266</v>
      </c>
      <c r="AO1" s="16" t="s">
        <v>267</v>
      </c>
      <c r="AP1" s="16" t="s">
        <v>268</v>
      </c>
      <c r="AQ1" s="16" t="s">
        <v>269</v>
      </c>
      <c r="AR1" s="16" t="s">
        <v>270</v>
      </c>
      <c r="AS1" s="16" t="s">
        <v>271</v>
      </c>
      <c r="AT1" s="16" t="s">
        <v>272</v>
      </c>
      <c r="AU1" s="16" t="s">
        <v>273</v>
      </c>
      <c r="AV1" s="16" t="s">
        <v>219</v>
      </c>
      <c r="AW1" s="16" t="s">
        <v>220</v>
      </c>
      <c r="AX1" s="16" t="s">
        <v>218</v>
      </c>
      <c r="AY1" s="16" t="s">
        <v>216</v>
      </c>
      <c r="AZ1" s="16" t="s">
        <v>217</v>
      </c>
      <c r="BA1" s="16" t="s">
        <v>221</v>
      </c>
      <c r="BB1" s="16" t="s">
        <v>223</v>
      </c>
      <c r="BC1" s="16" t="s">
        <v>222</v>
      </c>
      <c r="BD1" s="16" t="s">
        <v>224</v>
      </c>
      <c r="BE1" s="16" t="s">
        <v>225</v>
      </c>
      <c r="BF1" s="16" t="s">
        <v>226</v>
      </c>
      <c r="BG1" s="16" t="s">
        <v>253</v>
      </c>
    </row>
    <row r="2" spans="1:59" x14ac:dyDescent="0.3">
      <c r="A2" s="5" t="s">
        <v>27</v>
      </c>
      <c r="B2" s="2" t="s">
        <v>227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37</v>
      </c>
      <c r="N2" s="5" t="s">
        <v>40</v>
      </c>
      <c r="O2" s="5" t="s">
        <v>40</v>
      </c>
      <c r="P2" s="5" t="s">
        <v>40</v>
      </c>
      <c r="Q2" s="5" t="s">
        <v>40</v>
      </c>
      <c r="R2" s="5" t="s">
        <v>303</v>
      </c>
      <c r="S2" s="5" t="s">
        <v>303</v>
      </c>
      <c r="T2" s="5" t="s">
        <v>40</v>
      </c>
      <c r="U2" s="5" t="s">
        <v>41</v>
      </c>
      <c r="V2" s="5" t="s">
        <v>42</v>
      </c>
      <c r="W2" s="5" t="s">
        <v>40</v>
      </c>
      <c r="X2" s="5" t="s">
        <v>40</v>
      </c>
      <c r="Y2" s="5">
        <v>1</v>
      </c>
      <c r="Z2" s="5">
        <v>5</v>
      </c>
      <c r="AA2" s="5">
        <v>5</v>
      </c>
      <c r="AB2" s="5">
        <v>4</v>
      </c>
      <c r="AC2" s="5">
        <v>4</v>
      </c>
      <c r="AD2" s="5">
        <v>4</v>
      </c>
      <c r="AE2" s="5">
        <v>4</v>
      </c>
      <c r="AF2" s="5">
        <v>4</v>
      </c>
      <c r="AG2" s="5">
        <v>3</v>
      </c>
      <c r="AH2" s="5">
        <v>5</v>
      </c>
      <c r="AI2" s="5">
        <v>4</v>
      </c>
      <c r="AJ2" s="5">
        <v>37.5</v>
      </c>
      <c r="AK2" s="5" t="s">
        <v>274</v>
      </c>
      <c r="AL2" s="5" t="s">
        <v>275</v>
      </c>
      <c r="AM2" s="5" t="s">
        <v>274</v>
      </c>
      <c r="AN2" s="5" t="s">
        <v>274</v>
      </c>
      <c r="AO2" s="5">
        <v>1</v>
      </c>
      <c r="AP2" s="5">
        <v>2</v>
      </c>
      <c r="AQ2" s="5">
        <v>40</v>
      </c>
      <c r="AR2" s="5">
        <v>37</v>
      </c>
      <c r="AS2" s="5">
        <v>5</v>
      </c>
      <c r="AT2" s="5">
        <v>3</v>
      </c>
      <c r="AU2" s="5">
        <f>(AS2-AT2)/AS2</f>
        <v>0.4</v>
      </c>
      <c r="AV2" s="5">
        <v>2</v>
      </c>
      <c r="AW2" s="9">
        <v>0.4</v>
      </c>
      <c r="AX2" s="5">
        <v>450000</v>
      </c>
      <c r="AY2" s="5">
        <v>37500</v>
      </c>
      <c r="AZ2" s="5">
        <v>256</v>
      </c>
      <c r="BA2" s="5">
        <v>512</v>
      </c>
      <c r="BB2" s="5">
        <v>2560</v>
      </c>
      <c r="BC2" s="5">
        <v>10240</v>
      </c>
      <c r="BD2" s="5">
        <v>122880</v>
      </c>
      <c r="BE2" s="5">
        <v>1650</v>
      </c>
      <c r="BF2" s="5">
        <v>19800</v>
      </c>
      <c r="BG2" s="5">
        <v>103080</v>
      </c>
    </row>
    <row r="3" spans="1:59" x14ac:dyDescent="0.3">
      <c r="A3" s="5" t="s">
        <v>44</v>
      </c>
      <c r="B3" s="2" t="s">
        <v>46</v>
      </c>
      <c r="C3" s="5" t="s">
        <v>47</v>
      </c>
      <c r="D3" s="5" t="s">
        <v>48</v>
      </c>
      <c r="E3" s="5" t="s">
        <v>32</v>
      </c>
      <c r="F3" s="5" t="s">
        <v>49</v>
      </c>
      <c r="G3" s="5" t="s">
        <v>50</v>
      </c>
      <c r="H3" s="5" t="s">
        <v>35</v>
      </c>
      <c r="I3" s="5" t="s">
        <v>51</v>
      </c>
      <c r="J3" s="5" t="s">
        <v>37</v>
      </c>
      <c r="K3" s="5" t="s">
        <v>39</v>
      </c>
      <c r="L3" s="5" t="s">
        <v>52</v>
      </c>
      <c r="M3" s="5" t="s">
        <v>53</v>
      </c>
      <c r="N3" s="5" t="s">
        <v>54</v>
      </c>
      <c r="O3" s="5" t="s">
        <v>40</v>
      </c>
      <c r="P3" s="5" t="s">
        <v>40</v>
      </c>
      <c r="Q3" s="5" t="s">
        <v>40</v>
      </c>
      <c r="R3" s="5" t="s">
        <v>303</v>
      </c>
      <c r="S3" s="5" t="s">
        <v>303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">
        <v>4</v>
      </c>
      <c r="Z3" s="5">
        <v>9.5</v>
      </c>
      <c r="AA3" s="5">
        <v>5</v>
      </c>
      <c r="AB3" s="5">
        <v>5</v>
      </c>
      <c r="AC3" s="5">
        <v>4</v>
      </c>
      <c r="AD3" s="5">
        <v>4</v>
      </c>
      <c r="AE3" s="5">
        <v>4</v>
      </c>
      <c r="AF3" s="5">
        <v>4</v>
      </c>
      <c r="AG3" s="5">
        <v>4</v>
      </c>
      <c r="AH3" s="5">
        <v>4</v>
      </c>
      <c r="AI3" s="5">
        <v>4</v>
      </c>
      <c r="AJ3" s="5">
        <v>37.5</v>
      </c>
      <c r="AK3" s="5" t="s">
        <v>274</v>
      </c>
      <c r="AL3" s="5" t="s">
        <v>274</v>
      </c>
      <c r="AM3" s="5" t="s">
        <v>274</v>
      </c>
      <c r="AN3" s="5" t="s">
        <v>274</v>
      </c>
      <c r="AO3" s="5">
        <v>1</v>
      </c>
      <c r="AP3" s="5">
        <v>2</v>
      </c>
      <c r="AQ3" s="5">
        <v>66.666666666666657</v>
      </c>
      <c r="AR3" s="5">
        <v>46</v>
      </c>
      <c r="AS3" s="5">
        <v>3</v>
      </c>
      <c r="AT3" s="5">
        <v>1</v>
      </c>
      <c r="AU3" s="5">
        <v>17.5</v>
      </c>
      <c r="AV3" s="5">
        <v>2</v>
      </c>
      <c r="AW3" s="9">
        <v>0.66666666666666663</v>
      </c>
      <c r="AX3" s="5">
        <v>1000000</v>
      </c>
      <c r="AY3" s="5">
        <v>83333</v>
      </c>
      <c r="AZ3" s="5">
        <v>568</v>
      </c>
      <c r="BA3" s="5">
        <v>1136</v>
      </c>
      <c r="BB3" s="5">
        <v>5680</v>
      </c>
      <c r="BC3" s="5">
        <v>22720</v>
      </c>
      <c r="BD3" s="5">
        <v>272640</v>
      </c>
      <c r="BE3" s="5">
        <v>1650</v>
      </c>
      <c r="BF3" s="5">
        <v>19800</v>
      </c>
      <c r="BG3" s="5">
        <v>252840</v>
      </c>
    </row>
    <row r="4" spans="1:59" x14ac:dyDescent="0.3">
      <c r="A4" s="5" t="s">
        <v>27</v>
      </c>
      <c r="B4" s="2" t="s">
        <v>57</v>
      </c>
      <c r="C4" s="5" t="s">
        <v>47</v>
      </c>
      <c r="D4" s="5" t="s">
        <v>48</v>
      </c>
      <c r="E4" s="5" t="s">
        <v>32</v>
      </c>
      <c r="F4" s="5" t="s">
        <v>58</v>
      </c>
      <c r="G4" s="5" t="s">
        <v>50</v>
      </c>
      <c r="H4" s="5" t="s">
        <v>35</v>
      </c>
      <c r="I4" s="5" t="s">
        <v>59</v>
      </c>
      <c r="J4" s="5" t="s">
        <v>37</v>
      </c>
      <c r="K4" s="5" t="s">
        <v>38</v>
      </c>
      <c r="L4" s="5" t="s">
        <v>52</v>
      </c>
      <c r="M4" s="5" t="s">
        <v>37</v>
      </c>
      <c r="N4" s="5" t="s">
        <v>40</v>
      </c>
      <c r="O4" s="5" t="s">
        <v>42</v>
      </c>
      <c r="P4" s="5" t="s">
        <v>54</v>
      </c>
      <c r="Q4" s="5" t="s">
        <v>54</v>
      </c>
      <c r="R4" s="5" t="s">
        <v>303</v>
      </c>
      <c r="S4" s="5" t="s">
        <v>303</v>
      </c>
      <c r="T4" s="5" t="s">
        <v>40</v>
      </c>
      <c r="U4" s="5" t="s">
        <v>40</v>
      </c>
      <c r="V4" s="5" t="s">
        <v>41</v>
      </c>
      <c r="W4" s="5" t="s">
        <v>41</v>
      </c>
      <c r="X4" s="5" t="s">
        <v>40</v>
      </c>
      <c r="Y4" s="5">
        <v>4</v>
      </c>
      <c r="Z4" s="5">
        <v>9.5</v>
      </c>
      <c r="AA4" s="5">
        <v>5</v>
      </c>
      <c r="AB4" s="5">
        <v>4</v>
      </c>
      <c r="AC4" s="5">
        <v>5</v>
      </c>
      <c r="AD4" s="5">
        <v>5</v>
      </c>
      <c r="AE4" s="5">
        <v>5</v>
      </c>
      <c r="AF4" s="5">
        <v>4</v>
      </c>
      <c r="AG4" s="5">
        <v>4</v>
      </c>
      <c r="AH4" s="5">
        <v>3</v>
      </c>
      <c r="AI4" s="5">
        <v>3</v>
      </c>
      <c r="AJ4" s="5">
        <v>37.5</v>
      </c>
      <c r="AK4" s="5" t="s">
        <v>274</v>
      </c>
      <c r="AL4" s="5" t="s">
        <v>274</v>
      </c>
      <c r="AM4" s="5" t="s">
        <v>275</v>
      </c>
      <c r="AN4" s="5" t="s">
        <v>275</v>
      </c>
      <c r="AO4" s="5">
        <v>1</v>
      </c>
      <c r="AP4" s="5">
        <v>4</v>
      </c>
      <c r="AQ4" s="5">
        <v>80</v>
      </c>
      <c r="AR4" s="5">
        <v>52</v>
      </c>
      <c r="AS4" s="5">
        <v>5</v>
      </c>
      <c r="AT4" s="5">
        <v>1</v>
      </c>
      <c r="AU4" s="5">
        <v>37.5</v>
      </c>
      <c r="AV4" s="5">
        <v>4</v>
      </c>
      <c r="AW4" s="9">
        <v>0.8</v>
      </c>
      <c r="AX4" s="5">
        <v>1250000</v>
      </c>
      <c r="AY4" s="5">
        <v>104167</v>
      </c>
      <c r="AZ4" s="5">
        <v>710</v>
      </c>
      <c r="BA4" s="5">
        <v>2840</v>
      </c>
      <c r="BB4" s="5">
        <v>14200</v>
      </c>
      <c r="BC4" s="5">
        <v>56800</v>
      </c>
      <c r="BD4" s="5">
        <v>681600</v>
      </c>
      <c r="BE4" s="5">
        <v>1650</v>
      </c>
      <c r="BF4" s="5">
        <v>19800</v>
      </c>
      <c r="BG4" s="5">
        <v>661800</v>
      </c>
    </row>
    <row r="5" spans="1:59" x14ac:dyDescent="0.3">
      <c r="A5" s="5" t="s">
        <v>44</v>
      </c>
      <c r="B5" s="2" t="s">
        <v>62</v>
      </c>
      <c r="C5" s="5" t="s">
        <v>63</v>
      </c>
      <c r="D5" s="5" t="s">
        <v>64</v>
      </c>
      <c r="E5" s="5" t="s">
        <v>32</v>
      </c>
      <c r="F5" s="5" t="s">
        <v>49</v>
      </c>
      <c r="G5" s="5" t="s">
        <v>34</v>
      </c>
      <c r="H5" s="5" t="s">
        <v>35</v>
      </c>
      <c r="I5" s="5" t="s">
        <v>51</v>
      </c>
      <c r="J5" s="5" t="s">
        <v>65</v>
      </c>
      <c r="K5" s="5" t="s">
        <v>39</v>
      </c>
      <c r="L5" s="5" t="s">
        <v>52</v>
      </c>
      <c r="M5" s="5" t="s">
        <v>53</v>
      </c>
      <c r="N5" s="5" t="s">
        <v>54</v>
      </c>
      <c r="O5" s="5" t="s">
        <v>42</v>
      </c>
      <c r="P5" s="5" t="s">
        <v>40</v>
      </c>
      <c r="Q5" s="5" t="s">
        <v>40</v>
      </c>
      <c r="R5" s="5" t="s">
        <v>303</v>
      </c>
      <c r="S5" s="5" t="s">
        <v>303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54</v>
      </c>
      <c r="Y5" s="5">
        <v>12</v>
      </c>
      <c r="Z5" s="5">
        <v>5</v>
      </c>
      <c r="AA5" s="5">
        <v>5</v>
      </c>
      <c r="AB5" s="5">
        <v>5</v>
      </c>
      <c r="AC5" s="5">
        <v>5</v>
      </c>
      <c r="AD5" s="5">
        <v>4</v>
      </c>
      <c r="AE5" s="5">
        <v>4</v>
      </c>
      <c r="AF5" s="5">
        <v>4</v>
      </c>
      <c r="AG5" s="5">
        <v>4</v>
      </c>
      <c r="AH5" s="5">
        <v>4</v>
      </c>
      <c r="AI5" s="5">
        <v>4</v>
      </c>
      <c r="AJ5" s="5">
        <v>5</v>
      </c>
      <c r="AK5" s="5" t="s">
        <v>274</v>
      </c>
      <c r="AL5" s="5" t="s">
        <v>274</v>
      </c>
      <c r="AM5" s="5" t="s">
        <v>274</v>
      </c>
      <c r="AN5" s="5" t="s">
        <v>274</v>
      </c>
      <c r="AO5" s="5">
        <v>1</v>
      </c>
      <c r="AP5" s="5">
        <v>2</v>
      </c>
      <c r="AQ5" s="5">
        <v>66.666666666666657</v>
      </c>
      <c r="AR5" s="5">
        <v>40.5</v>
      </c>
      <c r="AS5" s="5">
        <v>3</v>
      </c>
      <c r="AT5" s="5">
        <v>1</v>
      </c>
      <c r="AU5" s="5">
        <v>17.5</v>
      </c>
      <c r="AV5" s="5">
        <v>2</v>
      </c>
      <c r="AW5" s="9">
        <v>0.66666666666666663</v>
      </c>
      <c r="AX5" s="5">
        <v>4000000</v>
      </c>
      <c r="AY5" s="5">
        <v>333333</v>
      </c>
      <c r="AZ5" s="5">
        <v>2273</v>
      </c>
      <c r="BA5" s="5">
        <v>4546</v>
      </c>
      <c r="BB5" s="5">
        <v>22730</v>
      </c>
      <c r="BC5" s="5">
        <v>90920</v>
      </c>
      <c r="BD5" s="5">
        <v>1091040</v>
      </c>
      <c r="BE5" s="5">
        <v>1650</v>
      </c>
      <c r="BF5" s="5">
        <v>19800</v>
      </c>
      <c r="BG5" s="5">
        <v>1071240</v>
      </c>
    </row>
    <row r="6" spans="1:59" x14ac:dyDescent="0.3">
      <c r="A6" s="5" t="s">
        <v>27</v>
      </c>
      <c r="B6" s="2" t="s">
        <v>46</v>
      </c>
      <c r="C6" s="5" t="s">
        <v>67</v>
      </c>
      <c r="D6" s="5" t="s">
        <v>48</v>
      </c>
      <c r="E6" s="5" t="s">
        <v>32</v>
      </c>
      <c r="F6" s="5" t="s">
        <v>68</v>
      </c>
      <c r="G6" s="5" t="s">
        <v>69</v>
      </c>
      <c r="H6" s="5" t="s">
        <v>70</v>
      </c>
      <c r="I6" s="5" t="s">
        <v>71</v>
      </c>
      <c r="J6" s="5" t="s">
        <v>53</v>
      </c>
      <c r="K6" s="5" t="s">
        <v>38</v>
      </c>
      <c r="L6" s="5" t="s">
        <v>39</v>
      </c>
      <c r="M6" s="5" t="s">
        <v>53</v>
      </c>
      <c r="N6" s="5" t="s">
        <v>41</v>
      </c>
      <c r="O6" s="5" t="s">
        <v>40</v>
      </c>
      <c r="P6" s="5" t="s">
        <v>40</v>
      </c>
      <c r="Q6" s="5" t="s">
        <v>41</v>
      </c>
      <c r="R6" s="5" t="s">
        <v>303</v>
      </c>
      <c r="S6" s="5" t="s">
        <v>303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">
        <v>8</v>
      </c>
      <c r="Z6" s="5">
        <v>2</v>
      </c>
      <c r="AA6" s="5">
        <v>3</v>
      </c>
      <c r="AB6" s="5">
        <v>3</v>
      </c>
      <c r="AC6" s="5">
        <v>4</v>
      </c>
      <c r="AD6" s="5">
        <v>4</v>
      </c>
      <c r="AE6" s="5">
        <v>3</v>
      </c>
      <c r="AF6" s="5">
        <v>4</v>
      </c>
      <c r="AG6" s="5">
        <v>4</v>
      </c>
      <c r="AH6" s="5">
        <v>4</v>
      </c>
      <c r="AI6" s="5">
        <v>4</v>
      </c>
      <c r="AJ6" s="5">
        <v>17.5</v>
      </c>
      <c r="AK6" s="5" t="s">
        <v>274</v>
      </c>
      <c r="AL6" s="5" t="s">
        <v>274</v>
      </c>
      <c r="AM6" s="5" t="s">
        <v>274</v>
      </c>
      <c r="AN6" s="5" t="s">
        <v>274</v>
      </c>
      <c r="AO6" s="5">
        <v>1</v>
      </c>
      <c r="AP6" s="5">
        <v>2</v>
      </c>
      <c r="AQ6" s="5">
        <v>40</v>
      </c>
      <c r="AR6" s="5">
        <v>30.4</v>
      </c>
      <c r="AS6" s="5">
        <v>5</v>
      </c>
      <c r="AT6" s="5">
        <v>3</v>
      </c>
      <c r="AU6" s="5">
        <v>17.5</v>
      </c>
      <c r="AV6" s="5">
        <v>2</v>
      </c>
      <c r="AW6" s="9">
        <v>0.4</v>
      </c>
      <c r="AX6" s="5">
        <v>1750000</v>
      </c>
      <c r="AY6" s="5">
        <v>145833</v>
      </c>
      <c r="AZ6" s="5">
        <v>994</v>
      </c>
      <c r="BA6" s="5">
        <v>1988</v>
      </c>
      <c r="BB6" s="5">
        <v>9940</v>
      </c>
      <c r="BC6" s="5">
        <v>39760</v>
      </c>
      <c r="BD6" s="5">
        <v>477120</v>
      </c>
      <c r="BE6" s="5">
        <v>1650</v>
      </c>
      <c r="BF6" s="5">
        <v>19800</v>
      </c>
      <c r="BG6" s="5">
        <v>457320</v>
      </c>
    </row>
    <row r="7" spans="1:59" x14ac:dyDescent="0.3">
      <c r="A7" s="5" t="s">
        <v>44</v>
      </c>
      <c r="B7" s="2" t="s">
        <v>73</v>
      </c>
      <c r="C7" s="5" t="s">
        <v>30</v>
      </c>
      <c r="D7" s="5" t="s">
        <v>48</v>
      </c>
      <c r="E7" s="5" t="s">
        <v>32</v>
      </c>
      <c r="F7" s="5" t="s">
        <v>74</v>
      </c>
      <c r="G7" s="5" t="s">
        <v>50</v>
      </c>
      <c r="H7" s="5" t="s">
        <v>35</v>
      </c>
      <c r="I7" s="5" t="s">
        <v>75</v>
      </c>
      <c r="J7" s="5" t="s">
        <v>53</v>
      </c>
      <c r="K7" s="5" t="s">
        <v>39</v>
      </c>
      <c r="L7" s="5" t="s">
        <v>52</v>
      </c>
      <c r="M7" s="5" t="s">
        <v>53</v>
      </c>
      <c r="N7" s="5" t="s">
        <v>41</v>
      </c>
      <c r="O7" s="5" t="s">
        <v>40</v>
      </c>
      <c r="P7" s="5" t="s">
        <v>40</v>
      </c>
      <c r="Q7" s="5" t="s">
        <v>76</v>
      </c>
      <c r="R7" s="5" t="s">
        <v>303</v>
      </c>
      <c r="S7" s="5" t="s">
        <v>303</v>
      </c>
      <c r="T7" s="5" t="s">
        <v>41</v>
      </c>
      <c r="U7" s="5" t="s">
        <v>40</v>
      </c>
      <c r="V7" s="5" t="s">
        <v>40</v>
      </c>
      <c r="W7" s="5" t="s">
        <v>40</v>
      </c>
      <c r="X7" s="5" t="s">
        <v>77</v>
      </c>
      <c r="Y7" s="5">
        <v>1</v>
      </c>
      <c r="Z7" s="5">
        <v>9.5</v>
      </c>
      <c r="AA7" s="5">
        <v>5</v>
      </c>
      <c r="AB7" s="5">
        <v>3</v>
      </c>
      <c r="AC7" s="5">
        <v>4</v>
      </c>
      <c r="AD7" s="5">
        <v>4</v>
      </c>
      <c r="AE7" s="5">
        <v>2</v>
      </c>
      <c r="AF7" s="5">
        <v>3</v>
      </c>
      <c r="AG7" s="5">
        <v>4</v>
      </c>
      <c r="AH7" s="5">
        <v>4</v>
      </c>
      <c r="AI7" s="5">
        <v>4</v>
      </c>
      <c r="AJ7" s="5">
        <v>17.5</v>
      </c>
      <c r="AK7" s="5" t="s">
        <v>275</v>
      </c>
      <c r="AL7" s="5" t="s">
        <v>274</v>
      </c>
      <c r="AM7" s="5" t="s">
        <v>274</v>
      </c>
      <c r="AN7" s="5" t="s">
        <v>274</v>
      </c>
      <c r="AO7" s="5">
        <v>0</v>
      </c>
      <c r="AP7" s="5">
        <v>2</v>
      </c>
      <c r="AQ7" s="5">
        <v>66.666666666666657</v>
      </c>
      <c r="AR7" s="5">
        <v>38</v>
      </c>
      <c r="AS7" s="5">
        <v>3</v>
      </c>
      <c r="AT7" s="5">
        <v>1</v>
      </c>
      <c r="AU7" s="5">
        <v>17.5</v>
      </c>
      <c r="AV7" s="5">
        <v>2</v>
      </c>
      <c r="AW7" s="9">
        <v>0.66666666666666663</v>
      </c>
      <c r="AX7" s="5">
        <v>500000</v>
      </c>
      <c r="AY7" s="5">
        <v>41667</v>
      </c>
      <c r="AZ7" s="5">
        <v>284</v>
      </c>
      <c r="BA7" s="5">
        <v>568</v>
      </c>
      <c r="BB7" s="5">
        <v>2840</v>
      </c>
      <c r="BC7" s="5">
        <v>11360</v>
      </c>
      <c r="BD7" s="5">
        <v>136320</v>
      </c>
      <c r="BE7" s="5">
        <v>1650</v>
      </c>
      <c r="BF7" s="5">
        <v>19800</v>
      </c>
      <c r="BG7" s="5">
        <v>116520</v>
      </c>
    </row>
    <row r="8" spans="1:59" x14ac:dyDescent="0.3">
      <c r="A8" s="5" t="s">
        <v>44</v>
      </c>
      <c r="B8" s="2" t="s">
        <v>57</v>
      </c>
      <c r="C8" s="5" t="s">
        <v>67</v>
      </c>
      <c r="D8" s="5" t="s">
        <v>48</v>
      </c>
      <c r="E8" s="5" t="s">
        <v>32</v>
      </c>
      <c r="F8" s="5" t="s">
        <v>68</v>
      </c>
      <c r="G8" s="5" t="s">
        <v>34</v>
      </c>
      <c r="H8" s="5" t="s">
        <v>80</v>
      </c>
      <c r="I8" s="5" t="s">
        <v>81</v>
      </c>
      <c r="J8" s="5" t="s">
        <v>53</v>
      </c>
      <c r="K8" s="5" t="s">
        <v>52</v>
      </c>
      <c r="L8" s="5" t="s">
        <v>52</v>
      </c>
      <c r="M8" s="5" t="s">
        <v>53</v>
      </c>
      <c r="N8" s="5" t="s">
        <v>54</v>
      </c>
      <c r="O8" s="5" t="s">
        <v>42</v>
      </c>
      <c r="P8" s="5" t="s">
        <v>40</v>
      </c>
      <c r="Q8" s="5" t="s">
        <v>40</v>
      </c>
      <c r="R8" s="5" t="s">
        <v>303</v>
      </c>
      <c r="S8" s="5" t="s">
        <v>303</v>
      </c>
      <c r="T8" s="5" t="s">
        <v>40</v>
      </c>
      <c r="U8" s="5" t="s">
        <v>42</v>
      </c>
      <c r="V8" s="5" t="s">
        <v>40</v>
      </c>
      <c r="W8" s="5" t="s">
        <v>40</v>
      </c>
      <c r="X8" s="5" t="s">
        <v>40</v>
      </c>
      <c r="Y8" s="5">
        <v>8</v>
      </c>
      <c r="Z8" s="5">
        <v>5</v>
      </c>
      <c r="AA8" s="5">
        <v>1</v>
      </c>
      <c r="AB8" s="5">
        <v>5</v>
      </c>
      <c r="AC8" s="5">
        <v>5</v>
      </c>
      <c r="AD8" s="5">
        <v>4</v>
      </c>
      <c r="AE8" s="5">
        <v>4</v>
      </c>
      <c r="AF8" s="5">
        <v>4</v>
      </c>
      <c r="AG8" s="5">
        <v>5</v>
      </c>
      <c r="AH8" s="5">
        <v>4</v>
      </c>
      <c r="AI8" s="5">
        <v>4</v>
      </c>
      <c r="AJ8" s="5">
        <v>17.5</v>
      </c>
      <c r="AK8" s="5" t="s">
        <v>274</v>
      </c>
      <c r="AL8" s="5" t="s">
        <v>274</v>
      </c>
      <c r="AM8" s="5" t="s">
        <v>274</v>
      </c>
      <c r="AN8" s="5" t="s">
        <v>274</v>
      </c>
      <c r="AO8" s="5">
        <v>1</v>
      </c>
      <c r="AP8" s="5">
        <v>0</v>
      </c>
      <c r="AQ8" s="5">
        <v>0</v>
      </c>
      <c r="AR8" s="5">
        <v>21.8</v>
      </c>
      <c r="AS8" s="5">
        <v>1</v>
      </c>
      <c r="AT8" s="5">
        <v>1</v>
      </c>
      <c r="AU8" s="5">
        <v>17.5</v>
      </c>
      <c r="AV8" s="5">
        <v>0</v>
      </c>
      <c r="AW8" s="9">
        <v>0</v>
      </c>
      <c r="AX8" s="5">
        <v>2150000</v>
      </c>
      <c r="AY8" s="5">
        <v>179167</v>
      </c>
      <c r="AZ8" s="5">
        <v>1222</v>
      </c>
      <c r="BA8" s="5">
        <v>0</v>
      </c>
      <c r="BB8" s="5">
        <v>0</v>
      </c>
      <c r="BC8" s="5">
        <v>0</v>
      </c>
      <c r="BD8" s="5">
        <v>0</v>
      </c>
      <c r="BE8" s="5">
        <v>1650</v>
      </c>
      <c r="BF8" s="5">
        <v>19800</v>
      </c>
      <c r="BG8" s="5">
        <v>-19800</v>
      </c>
    </row>
    <row r="9" spans="1:59" x14ac:dyDescent="0.3">
      <c r="A9" s="5" t="s">
        <v>44</v>
      </c>
      <c r="B9" s="2" t="s">
        <v>73</v>
      </c>
      <c r="C9" s="5" t="s">
        <v>47</v>
      </c>
      <c r="D9" s="5" t="s">
        <v>48</v>
      </c>
      <c r="E9" s="5" t="s">
        <v>32</v>
      </c>
      <c r="F9" s="5" t="s">
        <v>83</v>
      </c>
      <c r="G9" s="5" t="s">
        <v>34</v>
      </c>
      <c r="H9" s="5" t="s">
        <v>35</v>
      </c>
      <c r="I9" s="5" t="s">
        <v>59</v>
      </c>
      <c r="J9" s="5" t="s">
        <v>84</v>
      </c>
      <c r="K9" s="5" t="s">
        <v>38</v>
      </c>
      <c r="L9" s="5" t="s">
        <v>52</v>
      </c>
      <c r="M9" s="5" t="s">
        <v>85</v>
      </c>
      <c r="N9" s="5" t="s">
        <v>40</v>
      </c>
      <c r="O9" s="5" t="s">
        <v>40</v>
      </c>
      <c r="P9" s="5" t="s">
        <v>40</v>
      </c>
      <c r="Q9" s="5" t="s">
        <v>40</v>
      </c>
      <c r="R9" s="5" t="s">
        <v>303</v>
      </c>
      <c r="S9" s="5" t="s">
        <v>303</v>
      </c>
      <c r="T9" s="5" t="s">
        <v>40</v>
      </c>
      <c r="U9" s="5" t="s">
        <v>41</v>
      </c>
      <c r="V9" s="5" t="s">
        <v>41</v>
      </c>
      <c r="W9" s="5" t="s">
        <v>40</v>
      </c>
      <c r="X9" s="5" t="s">
        <v>40</v>
      </c>
      <c r="Y9" s="5">
        <v>4</v>
      </c>
      <c r="Z9" s="5">
        <v>5</v>
      </c>
      <c r="AA9" s="5">
        <v>5</v>
      </c>
      <c r="AB9" s="5">
        <v>4</v>
      </c>
      <c r="AC9" s="5">
        <v>4</v>
      </c>
      <c r="AD9" s="5">
        <v>4</v>
      </c>
      <c r="AE9" s="5">
        <v>4</v>
      </c>
      <c r="AF9" s="5">
        <v>4</v>
      </c>
      <c r="AG9" s="5">
        <v>3</v>
      </c>
      <c r="AH9" s="5">
        <v>3</v>
      </c>
      <c r="AI9" s="5">
        <v>4</v>
      </c>
      <c r="AJ9" s="5">
        <v>60</v>
      </c>
      <c r="AK9" s="5" t="s">
        <v>274</v>
      </c>
      <c r="AL9" s="5" t="s">
        <v>275</v>
      </c>
      <c r="AM9" s="5" t="s">
        <v>275</v>
      </c>
      <c r="AN9" s="5" t="s">
        <v>274</v>
      </c>
      <c r="AO9" s="5">
        <v>1</v>
      </c>
      <c r="AP9" s="5">
        <v>4</v>
      </c>
      <c r="AQ9" s="5">
        <v>80</v>
      </c>
      <c r="AR9" s="5">
        <v>53.5</v>
      </c>
      <c r="AS9" s="5">
        <v>5</v>
      </c>
      <c r="AT9" s="5">
        <v>1</v>
      </c>
      <c r="AU9" s="5">
        <v>60</v>
      </c>
      <c r="AV9" s="5">
        <v>4</v>
      </c>
      <c r="AW9" s="9">
        <v>0.8</v>
      </c>
      <c r="AX9" s="5">
        <v>1150000</v>
      </c>
      <c r="AY9" s="5">
        <v>95833</v>
      </c>
      <c r="AZ9" s="5">
        <v>653</v>
      </c>
      <c r="BA9" s="5">
        <v>2612</v>
      </c>
      <c r="BB9" s="5">
        <v>13060</v>
      </c>
      <c r="BC9" s="5">
        <v>52240</v>
      </c>
      <c r="BD9" s="5">
        <v>626880</v>
      </c>
      <c r="BE9" s="5">
        <v>1650</v>
      </c>
      <c r="BF9" s="5">
        <v>19800</v>
      </c>
      <c r="BG9" s="5">
        <v>607080</v>
      </c>
    </row>
    <row r="10" spans="1:59" x14ac:dyDescent="0.3">
      <c r="A10" s="5" t="s">
        <v>44</v>
      </c>
      <c r="B10" s="2" t="s">
        <v>227</v>
      </c>
      <c r="C10" s="5" t="s">
        <v>67</v>
      </c>
      <c r="D10" s="5" t="s">
        <v>48</v>
      </c>
      <c r="E10" s="5" t="s">
        <v>32</v>
      </c>
      <c r="F10" s="5" t="s">
        <v>89</v>
      </c>
      <c r="G10" s="5" t="s">
        <v>90</v>
      </c>
      <c r="H10" s="5" t="s">
        <v>35</v>
      </c>
      <c r="I10" s="5" t="s">
        <v>91</v>
      </c>
      <c r="J10" s="5" t="s">
        <v>53</v>
      </c>
      <c r="K10" s="5" t="s">
        <v>39</v>
      </c>
      <c r="L10" s="5" t="s">
        <v>52</v>
      </c>
      <c r="M10" s="5" t="s">
        <v>53</v>
      </c>
      <c r="N10" s="5" t="s">
        <v>40</v>
      </c>
      <c r="O10" s="5" t="s">
        <v>40</v>
      </c>
      <c r="P10" s="5" t="s">
        <v>40</v>
      </c>
      <c r="Q10" s="5" t="s">
        <v>40</v>
      </c>
      <c r="R10" s="5" t="s">
        <v>303</v>
      </c>
      <c r="S10" s="5" t="s">
        <v>303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">
        <v>8</v>
      </c>
      <c r="Z10" s="5">
        <v>15</v>
      </c>
      <c r="AA10" s="5">
        <v>5</v>
      </c>
      <c r="AB10" s="5">
        <v>4</v>
      </c>
      <c r="AC10" s="5">
        <v>4</v>
      </c>
      <c r="AD10" s="5">
        <v>4</v>
      </c>
      <c r="AE10" s="5">
        <v>4</v>
      </c>
      <c r="AF10" s="5">
        <v>4</v>
      </c>
      <c r="AG10" s="5">
        <v>4</v>
      </c>
      <c r="AH10" s="5">
        <v>4</v>
      </c>
      <c r="AI10" s="5">
        <v>4</v>
      </c>
      <c r="AJ10" s="5">
        <v>17.5</v>
      </c>
      <c r="AK10" s="5" t="s">
        <v>274</v>
      </c>
      <c r="AL10" s="5" t="s">
        <v>274</v>
      </c>
      <c r="AM10" s="5" t="s">
        <v>274</v>
      </c>
      <c r="AN10" s="5" t="s">
        <v>274</v>
      </c>
      <c r="AO10" s="5">
        <v>1</v>
      </c>
      <c r="AP10" s="5">
        <v>2</v>
      </c>
      <c r="AQ10" s="5">
        <v>66.666666666666657</v>
      </c>
      <c r="AR10" s="5">
        <v>41</v>
      </c>
      <c r="AS10" s="5">
        <v>3</v>
      </c>
      <c r="AT10" s="5">
        <v>1</v>
      </c>
      <c r="AU10" s="5">
        <v>17.5</v>
      </c>
      <c r="AV10" s="5">
        <v>2</v>
      </c>
      <c r="AW10" s="9">
        <v>0.66666666666666663</v>
      </c>
      <c r="AX10" s="5">
        <v>1850000</v>
      </c>
      <c r="AY10" s="5">
        <v>154167</v>
      </c>
      <c r="AZ10" s="5">
        <v>876</v>
      </c>
      <c r="BA10" s="5">
        <v>1752</v>
      </c>
      <c r="BB10" s="5">
        <v>8760</v>
      </c>
      <c r="BC10" s="5">
        <v>35040</v>
      </c>
      <c r="BD10" s="5">
        <v>420480</v>
      </c>
      <c r="BE10" s="5">
        <v>1650</v>
      </c>
      <c r="BF10" s="5">
        <v>19800</v>
      </c>
      <c r="BG10" s="5">
        <v>400680</v>
      </c>
    </row>
    <row r="11" spans="1:59" x14ac:dyDescent="0.3">
      <c r="A11" s="5" t="s">
        <v>44</v>
      </c>
      <c r="B11" s="2" t="s">
        <v>73</v>
      </c>
      <c r="C11" s="5" t="s">
        <v>67</v>
      </c>
      <c r="D11" s="5" t="s">
        <v>48</v>
      </c>
      <c r="E11" s="5" t="s">
        <v>32</v>
      </c>
      <c r="F11" s="5" t="s">
        <v>74</v>
      </c>
      <c r="G11" s="5" t="s">
        <v>90</v>
      </c>
      <c r="H11" s="5" t="s">
        <v>35</v>
      </c>
      <c r="I11" s="5" t="s">
        <v>94</v>
      </c>
      <c r="J11" s="5" t="s">
        <v>53</v>
      </c>
      <c r="K11" s="5" t="s">
        <v>38</v>
      </c>
      <c r="L11" s="5" t="s">
        <v>39</v>
      </c>
      <c r="M11" s="5" t="s">
        <v>85</v>
      </c>
      <c r="N11" s="5" t="s">
        <v>54</v>
      </c>
      <c r="O11" s="5" t="s">
        <v>42</v>
      </c>
      <c r="P11" s="5" t="s">
        <v>54</v>
      </c>
      <c r="Q11" s="5" t="s">
        <v>54</v>
      </c>
      <c r="R11" s="5" t="s">
        <v>303</v>
      </c>
      <c r="S11" s="5" t="s">
        <v>303</v>
      </c>
      <c r="T11" s="5" t="s">
        <v>54</v>
      </c>
      <c r="U11" s="5" t="s">
        <v>42</v>
      </c>
      <c r="V11" s="5" t="s">
        <v>42</v>
      </c>
      <c r="W11" s="5" t="s">
        <v>42</v>
      </c>
      <c r="X11" s="5" t="s">
        <v>54</v>
      </c>
      <c r="Y11" s="5">
        <v>8</v>
      </c>
      <c r="Z11" s="5">
        <v>15</v>
      </c>
      <c r="AA11" s="5">
        <v>5</v>
      </c>
      <c r="AB11" s="5">
        <v>5</v>
      </c>
      <c r="AC11" s="5">
        <v>5</v>
      </c>
      <c r="AD11" s="5">
        <v>5</v>
      </c>
      <c r="AE11" s="5">
        <v>5</v>
      </c>
      <c r="AF11" s="5">
        <v>5</v>
      </c>
      <c r="AG11" s="5">
        <v>5</v>
      </c>
      <c r="AH11" s="5">
        <v>5</v>
      </c>
      <c r="AI11" s="5">
        <v>5</v>
      </c>
      <c r="AJ11" s="5">
        <v>17.5</v>
      </c>
      <c r="AK11" s="5" t="s">
        <v>274</v>
      </c>
      <c r="AL11" s="5" t="s">
        <v>274</v>
      </c>
      <c r="AM11" s="5" t="s">
        <v>274</v>
      </c>
      <c r="AN11" s="5" t="s">
        <v>274</v>
      </c>
      <c r="AO11" s="5">
        <v>1</v>
      </c>
      <c r="AP11" s="5">
        <v>2</v>
      </c>
      <c r="AQ11" s="5">
        <v>40</v>
      </c>
      <c r="AR11" s="5">
        <v>37</v>
      </c>
      <c r="AS11" s="5">
        <v>5</v>
      </c>
      <c r="AT11" s="5">
        <v>3</v>
      </c>
      <c r="AU11" s="5">
        <v>60</v>
      </c>
      <c r="AV11" s="5">
        <v>2</v>
      </c>
      <c r="AW11" s="9">
        <v>0.4</v>
      </c>
      <c r="AX11" s="5">
        <v>2300000</v>
      </c>
      <c r="AY11" s="5">
        <v>191667</v>
      </c>
      <c r="AZ11" s="5">
        <v>1309</v>
      </c>
      <c r="BA11" s="5">
        <v>2618</v>
      </c>
      <c r="BB11" s="5">
        <v>13090</v>
      </c>
      <c r="BC11" s="5">
        <v>52360</v>
      </c>
      <c r="BD11" s="5">
        <v>628320</v>
      </c>
      <c r="BE11" s="5">
        <v>1650</v>
      </c>
      <c r="BF11" s="5">
        <v>19800</v>
      </c>
      <c r="BG11" s="5">
        <v>608520</v>
      </c>
    </row>
    <row r="12" spans="1:59" x14ac:dyDescent="0.3">
      <c r="A12" s="5" t="s">
        <v>27</v>
      </c>
      <c r="B12" s="2" t="s">
        <v>227</v>
      </c>
      <c r="C12" s="5" t="s">
        <v>30</v>
      </c>
      <c r="D12" s="5" t="s">
        <v>48</v>
      </c>
      <c r="E12" s="5" t="s">
        <v>98</v>
      </c>
      <c r="F12" s="5" t="s">
        <v>303</v>
      </c>
      <c r="G12" s="5" t="s">
        <v>303</v>
      </c>
      <c r="H12" s="5" t="s">
        <v>303</v>
      </c>
      <c r="I12" s="5" t="s">
        <v>303</v>
      </c>
      <c r="J12" s="5" t="s">
        <v>303</v>
      </c>
      <c r="K12" s="5" t="s">
        <v>303</v>
      </c>
      <c r="L12" s="5" t="s">
        <v>303</v>
      </c>
      <c r="M12" s="5" t="s">
        <v>303</v>
      </c>
      <c r="N12" s="5" t="s">
        <v>303</v>
      </c>
      <c r="O12" s="5" t="s">
        <v>303</v>
      </c>
      <c r="P12" s="5" t="s">
        <v>303</v>
      </c>
      <c r="Q12" s="5" t="s">
        <v>303</v>
      </c>
      <c r="R12" s="5" t="s">
        <v>99</v>
      </c>
      <c r="S12" s="5" t="s">
        <v>54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">
        <v>1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4</v>
      </c>
      <c r="AG12" s="5">
        <v>4</v>
      </c>
      <c r="AH12" s="5">
        <v>4</v>
      </c>
      <c r="AI12" s="5">
        <v>4</v>
      </c>
      <c r="AJ12" s="5">
        <v>0</v>
      </c>
      <c r="AK12" s="5" t="s">
        <v>274</v>
      </c>
      <c r="AL12" s="5" t="s">
        <v>274</v>
      </c>
      <c r="AM12" s="5" t="s">
        <v>274</v>
      </c>
      <c r="AN12" s="5" t="s">
        <v>274</v>
      </c>
      <c r="AO12" s="5">
        <v>1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9">
        <v>0</v>
      </c>
      <c r="AX12" s="5">
        <v>450000</v>
      </c>
      <c r="AY12" s="5">
        <v>37500</v>
      </c>
      <c r="AZ12" s="5">
        <v>256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</row>
    <row r="13" spans="1:59" x14ac:dyDescent="0.3">
      <c r="A13" s="5" t="s">
        <v>44</v>
      </c>
      <c r="B13" s="2" t="s">
        <v>73</v>
      </c>
      <c r="C13" s="5" t="s">
        <v>47</v>
      </c>
      <c r="D13" s="5" t="s">
        <v>48</v>
      </c>
      <c r="E13" s="5" t="s">
        <v>32</v>
      </c>
      <c r="F13" s="5" t="s">
        <v>102</v>
      </c>
      <c r="G13" s="5" t="s">
        <v>34</v>
      </c>
      <c r="H13" s="5" t="s">
        <v>35</v>
      </c>
      <c r="I13" s="5" t="s">
        <v>103</v>
      </c>
      <c r="J13" s="5" t="s">
        <v>53</v>
      </c>
      <c r="K13" s="5" t="s">
        <v>39</v>
      </c>
      <c r="L13" s="5" t="s">
        <v>52</v>
      </c>
      <c r="M13" s="5" t="s">
        <v>53</v>
      </c>
      <c r="N13" s="5" t="s">
        <v>54</v>
      </c>
      <c r="O13" s="5" t="s">
        <v>42</v>
      </c>
      <c r="P13" s="5" t="s">
        <v>41</v>
      </c>
      <c r="Q13" s="5" t="s">
        <v>41</v>
      </c>
      <c r="R13" s="5" t="s">
        <v>303</v>
      </c>
      <c r="S13" s="5" t="s">
        <v>303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">
        <v>4</v>
      </c>
      <c r="Z13" s="5">
        <v>5</v>
      </c>
      <c r="AA13" s="5">
        <v>5</v>
      </c>
      <c r="AB13" s="5">
        <v>5</v>
      </c>
      <c r="AC13" s="5">
        <v>5</v>
      </c>
      <c r="AD13" s="5">
        <v>3</v>
      </c>
      <c r="AE13" s="5">
        <v>3</v>
      </c>
      <c r="AF13" s="5">
        <v>4</v>
      </c>
      <c r="AG13" s="5">
        <v>4</v>
      </c>
      <c r="AH13" s="5">
        <v>4</v>
      </c>
      <c r="AI13" s="5">
        <v>4</v>
      </c>
      <c r="AJ13" s="5">
        <v>17.5</v>
      </c>
      <c r="AK13" s="5" t="s">
        <v>274</v>
      </c>
      <c r="AL13" s="5" t="s">
        <v>274</v>
      </c>
      <c r="AM13" s="5" t="s">
        <v>274</v>
      </c>
      <c r="AN13" s="5" t="s">
        <v>274</v>
      </c>
      <c r="AO13" s="5">
        <v>1</v>
      </c>
      <c r="AP13" s="5">
        <v>2</v>
      </c>
      <c r="AQ13" s="5">
        <v>66.666666666666657</v>
      </c>
      <c r="AR13" s="5">
        <v>41</v>
      </c>
      <c r="AS13" s="5">
        <v>3</v>
      </c>
      <c r="AT13" s="5">
        <v>1</v>
      </c>
      <c r="AU13" s="5">
        <v>17.5</v>
      </c>
      <c r="AV13" s="5">
        <v>2</v>
      </c>
      <c r="AW13" s="9">
        <v>0.66666666666666663</v>
      </c>
      <c r="AX13" s="5">
        <v>1150000</v>
      </c>
      <c r="AY13" s="5">
        <v>95833</v>
      </c>
      <c r="AZ13" s="5">
        <v>653</v>
      </c>
      <c r="BA13" s="5">
        <v>1306</v>
      </c>
      <c r="BB13" s="5">
        <v>6530</v>
      </c>
      <c r="BC13" s="5">
        <v>26120</v>
      </c>
      <c r="BD13" s="5">
        <v>313440</v>
      </c>
      <c r="BE13" s="5">
        <v>1650</v>
      </c>
      <c r="BF13" s="5">
        <v>19800</v>
      </c>
      <c r="BG13" s="5">
        <v>293640</v>
      </c>
    </row>
    <row r="14" spans="1:59" x14ac:dyDescent="0.3">
      <c r="A14" s="5" t="s">
        <v>44</v>
      </c>
      <c r="B14" s="2" t="s">
        <v>57</v>
      </c>
      <c r="C14" s="5" t="s">
        <v>47</v>
      </c>
      <c r="D14" s="5" t="s">
        <v>31</v>
      </c>
      <c r="E14" s="5" t="s">
        <v>32</v>
      </c>
      <c r="F14" s="5" t="s">
        <v>49</v>
      </c>
      <c r="G14" s="5" t="s">
        <v>90</v>
      </c>
      <c r="H14" s="5" t="s">
        <v>35</v>
      </c>
      <c r="I14" s="5" t="s">
        <v>59</v>
      </c>
      <c r="J14" s="5" t="s">
        <v>53</v>
      </c>
      <c r="K14" s="5" t="s">
        <v>38</v>
      </c>
      <c r="L14" s="5" t="s">
        <v>52</v>
      </c>
      <c r="M14" s="5" t="s">
        <v>53</v>
      </c>
      <c r="N14" s="5" t="s">
        <v>54</v>
      </c>
      <c r="O14" s="5" t="s">
        <v>42</v>
      </c>
      <c r="P14" s="5" t="s">
        <v>54</v>
      </c>
      <c r="Q14" s="5" t="s">
        <v>40</v>
      </c>
      <c r="R14" s="5" t="s">
        <v>303</v>
      </c>
      <c r="S14" s="5" t="s">
        <v>303</v>
      </c>
      <c r="T14" s="5" t="s">
        <v>54</v>
      </c>
      <c r="U14" s="5" t="s">
        <v>40</v>
      </c>
      <c r="V14" s="5" t="s">
        <v>42</v>
      </c>
      <c r="W14" s="5" t="s">
        <v>40</v>
      </c>
      <c r="X14" s="5" t="s">
        <v>40</v>
      </c>
      <c r="Y14" s="5">
        <v>4</v>
      </c>
      <c r="Z14" s="5">
        <v>15</v>
      </c>
      <c r="AA14" s="5">
        <v>5</v>
      </c>
      <c r="AB14" s="5">
        <v>5</v>
      </c>
      <c r="AC14" s="5">
        <v>5</v>
      </c>
      <c r="AD14" s="5">
        <v>5</v>
      </c>
      <c r="AE14" s="5">
        <v>4</v>
      </c>
      <c r="AF14" s="5">
        <v>5</v>
      </c>
      <c r="AG14" s="5">
        <v>4</v>
      </c>
      <c r="AH14" s="5">
        <v>5</v>
      </c>
      <c r="AI14" s="5">
        <v>4</v>
      </c>
      <c r="AJ14" s="5">
        <v>17.5</v>
      </c>
      <c r="AK14" s="5" t="s">
        <v>274</v>
      </c>
      <c r="AL14" s="5" t="s">
        <v>274</v>
      </c>
      <c r="AM14" s="5" t="s">
        <v>274</v>
      </c>
      <c r="AN14" s="5" t="s">
        <v>274</v>
      </c>
      <c r="AO14" s="5">
        <v>1</v>
      </c>
      <c r="AP14" s="5">
        <v>4</v>
      </c>
      <c r="AQ14" s="5">
        <v>80</v>
      </c>
      <c r="AR14" s="5">
        <v>48</v>
      </c>
      <c r="AS14" s="5">
        <v>5</v>
      </c>
      <c r="AT14" s="5">
        <v>1</v>
      </c>
      <c r="AU14" s="5">
        <v>17.5</v>
      </c>
      <c r="AV14" s="5">
        <v>4</v>
      </c>
      <c r="AW14" s="9">
        <v>0.8</v>
      </c>
      <c r="AX14" s="5">
        <v>1250000</v>
      </c>
      <c r="AY14" s="5">
        <v>104167</v>
      </c>
      <c r="AZ14" s="5">
        <v>710</v>
      </c>
      <c r="BA14" s="5">
        <v>2840</v>
      </c>
      <c r="BB14" s="5">
        <v>14200</v>
      </c>
      <c r="BC14" s="5">
        <v>56800</v>
      </c>
      <c r="BD14" s="5">
        <v>681600</v>
      </c>
      <c r="BE14" s="5">
        <v>1650</v>
      </c>
      <c r="BF14" s="5">
        <v>19800</v>
      </c>
      <c r="BG14" s="5">
        <v>661800</v>
      </c>
    </row>
    <row r="15" spans="1:59" x14ac:dyDescent="0.3">
      <c r="A15" s="5" t="s">
        <v>27</v>
      </c>
      <c r="B15" s="2" t="s">
        <v>108</v>
      </c>
      <c r="C15" s="5" t="s">
        <v>63</v>
      </c>
      <c r="D15" s="5" t="s">
        <v>109</v>
      </c>
      <c r="E15" s="5" t="s">
        <v>32</v>
      </c>
      <c r="F15" s="5" t="s">
        <v>110</v>
      </c>
      <c r="G15" s="5" t="s">
        <v>69</v>
      </c>
      <c r="H15" s="5" t="s">
        <v>35</v>
      </c>
      <c r="I15" s="5" t="s">
        <v>111</v>
      </c>
      <c r="J15" s="5" t="s">
        <v>53</v>
      </c>
      <c r="K15" s="5" t="s">
        <v>52</v>
      </c>
      <c r="L15" s="5" t="s">
        <v>52</v>
      </c>
      <c r="M15" s="5" t="s">
        <v>112</v>
      </c>
      <c r="N15" s="5" t="s">
        <v>40</v>
      </c>
      <c r="O15" s="5" t="s">
        <v>40</v>
      </c>
      <c r="P15" s="5" t="s">
        <v>41</v>
      </c>
      <c r="Q15" s="5" t="s">
        <v>41</v>
      </c>
      <c r="R15" s="5" t="s">
        <v>303</v>
      </c>
      <c r="S15" s="5" t="s">
        <v>303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">
        <v>12</v>
      </c>
      <c r="Z15" s="5">
        <v>2</v>
      </c>
      <c r="AA15" s="5">
        <v>5</v>
      </c>
      <c r="AB15" s="5">
        <v>4</v>
      </c>
      <c r="AC15" s="5">
        <v>4</v>
      </c>
      <c r="AD15" s="5">
        <v>3</v>
      </c>
      <c r="AE15" s="5">
        <v>3</v>
      </c>
      <c r="AF15" s="5">
        <v>4</v>
      </c>
      <c r="AG15" s="5">
        <v>4</v>
      </c>
      <c r="AH15" s="5">
        <v>4</v>
      </c>
      <c r="AI15" s="5">
        <v>4</v>
      </c>
      <c r="AJ15" s="5">
        <v>17.5</v>
      </c>
      <c r="AK15" s="5" t="s">
        <v>274</v>
      </c>
      <c r="AL15" s="5" t="s">
        <v>274</v>
      </c>
      <c r="AM15" s="5" t="s">
        <v>274</v>
      </c>
      <c r="AN15" s="5" t="s">
        <v>274</v>
      </c>
      <c r="AO15" s="5">
        <v>1</v>
      </c>
      <c r="AP15" s="5">
        <v>0</v>
      </c>
      <c r="AQ15" s="5">
        <v>0</v>
      </c>
      <c r="AR15" s="5">
        <v>19</v>
      </c>
      <c r="AS15" s="5">
        <v>1</v>
      </c>
      <c r="AT15" s="5">
        <v>1</v>
      </c>
      <c r="AU15" s="5">
        <v>5</v>
      </c>
      <c r="AV15" s="5">
        <v>0</v>
      </c>
      <c r="AW15" s="9">
        <v>0</v>
      </c>
      <c r="AX15" s="5">
        <v>2400000</v>
      </c>
      <c r="AY15" s="5">
        <v>200000</v>
      </c>
      <c r="AZ15" s="5">
        <v>1136</v>
      </c>
      <c r="BA15" s="5">
        <v>0</v>
      </c>
      <c r="BB15" s="5">
        <v>0</v>
      </c>
      <c r="BC15" s="5">
        <v>0</v>
      </c>
      <c r="BD15" s="5">
        <v>0</v>
      </c>
      <c r="BE15" s="5">
        <v>1650</v>
      </c>
      <c r="BF15" s="5">
        <v>19800</v>
      </c>
      <c r="BG15" s="5">
        <v>-19800</v>
      </c>
    </row>
    <row r="16" spans="1:59" x14ac:dyDescent="0.3">
      <c r="A16" s="5" t="s">
        <v>44</v>
      </c>
      <c r="B16" s="2" t="s">
        <v>57</v>
      </c>
      <c r="C16" s="5" t="s">
        <v>63</v>
      </c>
      <c r="D16" s="5" t="s">
        <v>31</v>
      </c>
      <c r="E16" s="5" t="s">
        <v>32</v>
      </c>
      <c r="F16" s="5" t="s">
        <v>68</v>
      </c>
      <c r="G16" s="5" t="s">
        <v>50</v>
      </c>
      <c r="H16" s="5" t="s">
        <v>35</v>
      </c>
      <c r="I16" s="5" t="s">
        <v>71</v>
      </c>
      <c r="J16" s="5" t="s">
        <v>53</v>
      </c>
      <c r="K16" s="5" t="s">
        <v>38</v>
      </c>
      <c r="L16" s="5" t="s">
        <v>52</v>
      </c>
      <c r="M16" s="5" t="s">
        <v>53</v>
      </c>
      <c r="N16" s="5" t="s">
        <v>40</v>
      </c>
      <c r="O16" s="5" t="s">
        <v>40</v>
      </c>
      <c r="P16" s="5" t="s">
        <v>40</v>
      </c>
      <c r="Q16" s="5" t="s">
        <v>40</v>
      </c>
      <c r="R16" s="5" t="s">
        <v>303</v>
      </c>
      <c r="S16" s="5" t="s">
        <v>303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">
        <v>12</v>
      </c>
      <c r="Z16" s="5">
        <v>9.5</v>
      </c>
      <c r="AA16" s="5">
        <v>5</v>
      </c>
      <c r="AB16" s="5">
        <v>4</v>
      </c>
      <c r="AC16" s="5">
        <v>4</v>
      </c>
      <c r="AD16" s="5">
        <v>4</v>
      </c>
      <c r="AE16" s="5">
        <v>4</v>
      </c>
      <c r="AF16" s="5">
        <v>4</v>
      </c>
      <c r="AG16" s="5">
        <v>4</v>
      </c>
      <c r="AH16" s="5">
        <v>4</v>
      </c>
      <c r="AI16" s="5">
        <v>4</v>
      </c>
      <c r="AJ16" s="5">
        <v>17.5</v>
      </c>
      <c r="AK16" s="5" t="s">
        <v>274</v>
      </c>
      <c r="AL16" s="5" t="s">
        <v>274</v>
      </c>
      <c r="AM16" s="5" t="s">
        <v>274</v>
      </c>
      <c r="AN16" s="5" t="s">
        <v>274</v>
      </c>
      <c r="AO16" s="5">
        <v>1</v>
      </c>
      <c r="AP16" s="5">
        <v>4</v>
      </c>
      <c r="AQ16" s="5">
        <v>80</v>
      </c>
      <c r="AR16" s="5">
        <v>45</v>
      </c>
      <c r="AS16" s="5">
        <v>5</v>
      </c>
      <c r="AT16" s="5">
        <v>1</v>
      </c>
      <c r="AU16" s="5">
        <v>17.5</v>
      </c>
      <c r="AV16" s="5">
        <v>4</v>
      </c>
      <c r="AW16" s="9">
        <v>0.8</v>
      </c>
      <c r="AX16" s="5">
        <v>3500000</v>
      </c>
      <c r="AY16" s="5">
        <v>291667</v>
      </c>
      <c r="AZ16" s="5">
        <v>1994</v>
      </c>
      <c r="BA16" s="5">
        <v>7976</v>
      </c>
      <c r="BB16" s="5">
        <v>39880</v>
      </c>
      <c r="BC16" s="5">
        <v>159520</v>
      </c>
      <c r="BD16" s="5">
        <v>1914240</v>
      </c>
      <c r="BE16" s="5">
        <v>1650</v>
      </c>
      <c r="BF16" s="5">
        <v>19800</v>
      </c>
      <c r="BG16" s="5">
        <v>1894440</v>
      </c>
    </row>
    <row r="17" spans="1:59" x14ac:dyDescent="0.3">
      <c r="A17" s="5" t="s">
        <v>27</v>
      </c>
      <c r="B17" s="2" t="s">
        <v>57</v>
      </c>
      <c r="C17" s="5" t="s">
        <v>63</v>
      </c>
      <c r="D17" s="5" t="s">
        <v>48</v>
      </c>
      <c r="E17" s="5" t="s">
        <v>32</v>
      </c>
      <c r="F17" s="5" t="s">
        <v>117</v>
      </c>
      <c r="G17" s="5" t="s">
        <v>50</v>
      </c>
      <c r="H17" s="5" t="s">
        <v>35</v>
      </c>
      <c r="I17" s="5" t="s">
        <v>118</v>
      </c>
      <c r="J17" s="5" t="s">
        <v>53</v>
      </c>
      <c r="K17" s="5" t="s">
        <v>38</v>
      </c>
      <c r="L17" s="5" t="s">
        <v>52</v>
      </c>
      <c r="M17" s="5" t="s">
        <v>37</v>
      </c>
      <c r="N17" s="5" t="s">
        <v>40</v>
      </c>
      <c r="O17" s="5" t="s">
        <v>40</v>
      </c>
      <c r="P17" s="5" t="s">
        <v>40</v>
      </c>
      <c r="Q17" s="5" t="s">
        <v>40</v>
      </c>
      <c r="R17" s="5" t="s">
        <v>303</v>
      </c>
      <c r="S17" s="5" t="s">
        <v>303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">
        <v>12</v>
      </c>
      <c r="Z17" s="5">
        <v>9.5</v>
      </c>
      <c r="AA17" s="5">
        <v>5</v>
      </c>
      <c r="AB17" s="5">
        <v>4</v>
      </c>
      <c r="AC17" s="5">
        <v>4</v>
      </c>
      <c r="AD17" s="5">
        <v>4</v>
      </c>
      <c r="AE17" s="5">
        <v>4</v>
      </c>
      <c r="AF17" s="5">
        <v>4</v>
      </c>
      <c r="AG17" s="5">
        <v>4</v>
      </c>
      <c r="AH17" s="5">
        <v>4</v>
      </c>
      <c r="AI17" s="5">
        <v>4</v>
      </c>
      <c r="AJ17" s="5">
        <v>17.5</v>
      </c>
      <c r="AK17" s="5" t="s">
        <v>274</v>
      </c>
      <c r="AL17" s="5" t="s">
        <v>274</v>
      </c>
      <c r="AM17" s="5" t="s">
        <v>274</v>
      </c>
      <c r="AN17" s="5" t="s">
        <v>274</v>
      </c>
      <c r="AO17" s="5">
        <v>1</v>
      </c>
      <c r="AP17" s="5">
        <v>4</v>
      </c>
      <c r="AQ17" s="5">
        <v>80</v>
      </c>
      <c r="AR17" s="5">
        <v>45</v>
      </c>
      <c r="AS17" s="5">
        <v>5</v>
      </c>
      <c r="AT17" s="5">
        <v>1</v>
      </c>
      <c r="AU17" s="5">
        <v>37.5</v>
      </c>
      <c r="AV17" s="5">
        <v>4</v>
      </c>
      <c r="AW17" s="9">
        <v>0.8</v>
      </c>
      <c r="AX17" s="5">
        <v>3500000</v>
      </c>
      <c r="AY17" s="5">
        <v>291667</v>
      </c>
      <c r="AZ17" s="5">
        <v>1994</v>
      </c>
      <c r="BA17" s="5">
        <v>7976</v>
      </c>
      <c r="BB17" s="5">
        <v>39880</v>
      </c>
      <c r="BC17" s="5">
        <v>159520</v>
      </c>
      <c r="BD17" s="5">
        <v>1914240</v>
      </c>
      <c r="BE17" s="5">
        <v>1650</v>
      </c>
      <c r="BF17" s="5">
        <v>19800</v>
      </c>
      <c r="BG17" s="5">
        <v>1894440</v>
      </c>
    </row>
    <row r="18" spans="1:59" x14ac:dyDescent="0.3">
      <c r="A18" s="5" t="s">
        <v>44</v>
      </c>
      <c r="B18" s="2" t="s">
        <v>227</v>
      </c>
      <c r="C18" s="5" t="s">
        <v>47</v>
      </c>
      <c r="D18" s="5" t="s">
        <v>122</v>
      </c>
      <c r="E18" s="5" t="s">
        <v>32</v>
      </c>
      <c r="F18" s="5" t="s">
        <v>68</v>
      </c>
      <c r="G18" s="5" t="s">
        <v>90</v>
      </c>
      <c r="H18" s="5" t="s">
        <v>35</v>
      </c>
      <c r="I18" s="5" t="s">
        <v>123</v>
      </c>
      <c r="J18" s="5" t="s">
        <v>53</v>
      </c>
      <c r="K18" s="5" t="s">
        <v>124</v>
      </c>
      <c r="L18" s="5" t="s">
        <v>39</v>
      </c>
      <c r="M18" s="5" t="s">
        <v>53</v>
      </c>
      <c r="N18" s="5" t="s">
        <v>41</v>
      </c>
      <c r="O18" s="5" t="s">
        <v>76</v>
      </c>
      <c r="P18" s="5" t="s">
        <v>40</v>
      </c>
      <c r="Q18" s="5" t="s">
        <v>41</v>
      </c>
      <c r="R18" s="5" t="s">
        <v>303</v>
      </c>
      <c r="S18" s="5" t="s">
        <v>303</v>
      </c>
      <c r="T18" s="5" t="s">
        <v>40</v>
      </c>
      <c r="U18" s="5" t="s">
        <v>125</v>
      </c>
      <c r="V18" s="5" t="s">
        <v>76</v>
      </c>
      <c r="W18" s="5" t="s">
        <v>76</v>
      </c>
      <c r="X18" s="5" t="s">
        <v>54</v>
      </c>
      <c r="Y18" s="5">
        <v>4</v>
      </c>
      <c r="Z18" s="5">
        <v>15</v>
      </c>
      <c r="AA18" s="5">
        <v>5</v>
      </c>
      <c r="AB18" s="5">
        <v>3</v>
      </c>
      <c r="AC18" s="5">
        <v>2</v>
      </c>
      <c r="AD18" s="5">
        <v>4</v>
      </c>
      <c r="AE18" s="5">
        <v>3</v>
      </c>
      <c r="AF18" s="5">
        <v>4</v>
      </c>
      <c r="AG18" s="5">
        <v>0</v>
      </c>
      <c r="AH18" s="5">
        <v>2</v>
      </c>
      <c r="AI18" s="5">
        <v>2</v>
      </c>
      <c r="AJ18" s="5">
        <v>17.5</v>
      </c>
      <c r="AK18" s="5" t="s">
        <v>274</v>
      </c>
      <c r="AM18" s="5" t="s">
        <v>276</v>
      </c>
      <c r="AN18" s="5" t="s">
        <v>276</v>
      </c>
      <c r="AO18" s="5">
        <v>1</v>
      </c>
      <c r="AP18" s="5">
        <v>6</v>
      </c>
      <c r="AQ18" s="5">
        <v>66.666666666666657</v>
      </c>
      <c r="AR18" s="5">
        <v>37</v>
      </c>
      <c r="AS18" s="5">
        <v>9</v>
      </c>
      <c r="AT18" s="5">
        <v>3</v>
      </c>
      <c r="AU18" s="5">
        <v>17.5</v>
      </c>
      <c r="AV18" s="5">
        <v>6</v>
      </c>
      <c r="AW18" s="9">
        <v>0.66666666666666663</v>
      </c>
      <c r="AX18" s="5">
        <v>1000000</v>
      </c>
      <c r="AY18" s="5">
        <v>83333</v>
      </c>
      <c r="AZ18" s="5">
        <v>568</v>
      </c>
      <c r="BA18" s="5">
        <v>3408</v>
      </c>
      <c r="BB18" s="5">
        <v>17040</v>
      </c>
      <c r="BC18" s="5">
        <v>68160</v>
      </c>
      <c r="BD18" s="5">
        <v>817920</v>
      </c>
      <c r="BE18" s="5">
        <v>1650</v>
      </c>
      <c r="BF18" s="5">
        <v>19800</v>
      </c>
      <c r="BG18" s="5">
        <v>798120</v>
      </c>
    </row>
    <row r="19" spans="1:59" x14ac:dyDescent="0.3">
      <c r="A19" s="5" t="s">
        <v>44</v>
      </c>
      <c r="B19" s="2" t="s">
        <v>73</v>
      </c>
      <c r="C19" s="5" t="s">
        <v>67</v>
      </c>
      <c r="D19" s="5" t="s">
        <v>128</v>
      </c>
      <c r="E19" s="5" t="s">
        <v>98</v>
      </c>
      <c r="F19" s="5" t="s">
        <v>303</v>
      </c>
      <c r="G19" s="5" t="s">
        <v>303</v>
      </c>
      <c r="H19" s="5" t="s">
        <v>303</v>
      </c>
      <c r="I19" s="5" t="s">
        <v>303</v>
      </c>
      <c r="J19" s="5" t="s">
        <v>303</v>
      </c>
      <c r="K19" s="5" t="s">
        <v>303</v>
      </c>
      <c r="L19" s="5" t="s">
        <v>303</v>
      </c>
      <c r="M19" s="5" t="s">
        <v>303</v>
      </c>
      <c r="N19" s="5" t="s">
        <v>303</v>
      </c>
      <c r="O19" s="5" t="s">
        <v>303</v>
      </c>
      <c r="P19" s="5" t="s">
        <v>303</v>
      </c>
      <c r="Q19" s="5" t="s">
        <v>303</v>
      </c>
      <c r="R19" s="5" t="s">
        <v>129</v>
      </c>
      <c r="S19" s="5" t="s">
        <v>40</v>
      </c>
      <c r="T19" s="5" t="s">
        <v>40</v>
      </c>
      <c r="U19" s="5" t="s">
        <v>41</v>
      </c>
      <c r="V19" s="5" t="s">
        <v>40</v>
      </c>
      <c r="W19" s="5" t="s">
        <v>40</v>
      </c>
      <c r="X19" s="5" t="s">
        <v>40</v>
      </c>
      <c r="Y19" s="5">
        <v>8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4</v>
      </c>
      <c r="AG19" s="5">
        <v>3</v>
      </c>
      <c r="AH19" s="5">
        <v>4</v>
      </c>
      <c r="AI19" s="5">
        <v>4</v>
      </c>
      <c r="AJ19" s="5">
        <v>0</v>
      </c>
      <c r="AK19" s="5" t="s">
        <v>274</v>
      </c>
      <c r="AL19" s="5" t="s">
        <v>275</v>
      </c>
      <c r="AM19" s="5" t="s">
        <v>274</v>
      </c>
      <c r="AN19" s="5" t="s">
        <v>274</v>
      </c>
      <c r="AO19" s="5">
        <v>1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9">
        <v>0</v>
      </c>
      <c r="AX19" s="5">
        <v>2300000</v>
      </c>
      <c r="AY19" s="5">
        <v>191667</v>
      </c>
      <c r="AZ19" s="5">
        <v>1309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</row>
    <row r="20" spans="1:59" x14ac:dyDescent="0.3">
      <c r="A20" s="5" t="s">
        <v>44</v>
      </c>
      <c r="B20" s="2" t="s">
        <v>46</v>
      </c>
      <c r="C20" s="5" t="s">
        <v>47</v>
      </c>
      <c r="D20" s="5" t="s">
        <v>48</v>
      </c>
      <c r="E20" s="5" t="s">
        <v>32</v>
      </c>
      <c r="F20" s="5" t="s">
        <v>33</v>
      </c>
      <c r="G20" s="5" t="s">
        <v>90</v>
      </c>
      <c r="H20" s="5" t="s">
        <v>35</v>
      </c>
      <c r="I20" s="5" t="s">
        <v>131</v>
      </c>
      <c r="J20" s="5" t="s">
        <v>37</v>
      </c>
      <c r="K20" s="5" t="s">
        <v>38</v>
      </c>
      <c r="L20" s="5" t="s">
        <v>39</v>
      </c>
      <c r="M20" s="5" t="s">
        <v>53</v>
      </c>
      <c r="N20" s="5" t="s">
        <v>41</v>
      </c>
      <c r="O20" s="5" t="s">
        <v>40</v>
      </c>
      <c r="P20" s="5" t="s">
        <v>40</v>
      </c>
      <c r="Q20" s="5" t="s">
        <v>40</v>
      </c>
      <c r="R20" s="5" t="s">
        <v>303</v>
      </c>
      <c r="S20" s="5" t="s">
        <v>303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">
        <v>4</v>
      </c>
      <c r="Z20" s="5">
        <v>15</v>
      </c>
      <c r="AA20" s="5">
        <v>5</v>
      </c>
      <c r="AB20" s="5">
        <v>3</v>
      </c>
      <c r="AC20" s="5">
        <v>4</v>
      </c>
      <c r="AD20" s="5">
        <v>4</v>
      </c>
      <c r="AE20" s="5">
        <v>4</v>
      </c>
      <c r="AF20" s="5">
        <v>4</v>
      </c>
      <c r="AG20" s="5">
        <v>4</v>
      </c>
      <c r="AH20" s="5">
        <v>4</v>
      </c>
      <c r="AI20" s="5">
        <v>4</v>
      </c>
      <c r="AJ20" s="5">
        <v>37.5</v>
      </c>
      <c r="AK20" s="5" t="s">
        <v>274</v>
      </c>
      <c r="AL20" s="5" t="s">
        <v>274</v>
      </c>
      <c r="AM20" s="5" t="s">
        <v>274</v>
      </c>
      <c r="AN20" s="5" t="s">
        <v>274</v>
      </c>
      <c r="AO20" s="5">
        <v>1</v>
      </c>
      <c r="AP20" s="5">
        <v>2</v>
      </c>
      <c r="AQ20" s="5">
        <v>40</v>
      </c>
      <c r="AR20" s="5">
        <v>36</v>
      </c>
      <c r="AS20" s="5">
        <v>5</v>
      </c>
      <c r="AT20" s="5">
        <v>3</v>
      </c>
      <c r="AU20" s="5">
        <v>17.5</v>
      </c>
      <c r="AV20" s="5">
        <v>2</v>
      </c>
      <c r="AW20" s="9">
        <v>0.4</v>
      </c>
      <c r="AX20" s="5">
        <v>1000000</v>
      </c>
      <c r="AY20" s="5">
        <v>83333</v>
      </c>
      <c r="AZ20" s="5">
        <v>568</v>
      </c>
      <c r="BA20" s="5">
        <v>1136</v>
      </c>
      <c r="BB20" s="5">
        <v>5680</v>
      </c>
      <c r="BC20" s="5">
        <v>22720</v>
      </c>
      <c r="BD20" s="5">
        <v>272640</v>
      </c>
      <c r="BE20" s="5">
        <v>1650</v>
      </c>
      <c r="BF20" s="5">
        <v>19800</v>
      </c>
      <c r="BG20" s="5">
        <v>252840</v>
      </c>
    </row>
    <row r="21" spans="1:59" x14ac:dyDescent="0.3">
      <c r="A21" s="5" t="s">
        <v>27</v>
      </c>
      <c r="B21" s="2" t="s">
        <v>62</v>
      </c>
      <c r="C21" s="5" t="s">
        <v>67</v>
      </c>
      <c r="D21" s="5" t="s">
        <v>31</v>
      </c>
      <c r="E21" s="5" t="s">
        <v>98</v>
      </c>
      <c r="F21" s="5" t="s">
        <v>303</v>
      </c>
      <c r="G21" s="5" t="s">
        <v>303</v>
      </c>
      <c r="H21" s="5" t="s">
        <v>303</v>
      </c>
      <c r="I21" s="5" t="s">
        <v>303</v>
      </c>
      <c r="J21" s="5" t="s">
        <v>303</v>
      </c>
      <c r="K21" s="5" t="s">
        <v>303</v>
      </c>
      <c r="L21" s="5" t="s">
        <v>303</v>
      </c>
      <c r="M21" s="5" t="s">
        <v>303</v>
      </c>
      <c r="N21" s="5" t="s">
        <v>303</v>
      </c>
      <c r="O21" s="5" t="s">
        <v>303</v>
      </c>
      <c r="P21" s="5" t="s">
        <v>303</v>
      </c>
      <c r="Q21" s="5" t="s">
        <v>303</v>
      </c>
      <c r="R21" s="5" t="s">
        <v>134</v>
      </c>
      <c r="S21" s="5" t="s">
        <v>40</v>
      </c>
      <c r="T21" s="5" t="s">
        <v>40</v>
      </c>
      <c r="U21" s="5" t="s">
        <v>41</v>
      </c>
      <c r="V21" s="5" t="s">
        <v>41</v>
      </c>
      <c r="W21" s="5" t="s">
        <v>40</v>
      </c>
      <c r="X21" s="5" t="s">
        <v>40</v>
      </c>
      <c r="Y21" s="5">
        <v>8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4</v>
      </c>
      <c r="AG21" s="5">
        <v>3</v>
      </c>
      <c r="AH21" s="5">
        <v>3</v>
      </c>
      <c r="AI21" s="5">
        <v>4</v>
      </c>
      <c r="AJ21" s="5">
        <v>0</v>
      </c>
      <c r="AK21" s="5" t="s">
        <v>274</v>
      </c>
      <c r="AL21" s="5" t="s">
        <v>275</v>
      </c>
      <c r="AM21" s="5" t="s">
        <v>275</v>
      </c>
      <c r="AN21" s="5" t="s">
        <v>274</v>
      </c>
      <c r="AO21" s="5">
        <v>1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9">
        <v>0</v>
      </c>
      <c r="AX21" s="5">
        <v>2400000</v>
      </c>
      <c r="AY21" s="5">
        <v>200000</v>
      </c>
      <c r="AZ21" s="5">
        <v>1364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</row>
    <row r="22" spans="1:59" x14ac:dyDescent="0.3">
      <c r="A22" s="5" t="s">
        <v>27</v>
      </c>
      <c r="B22" s="2" t="s">
        <v>73</v>
      </c>
      <c r="C22" s="5" t="s">
        <v>67</v>
      </c>
      <c r="D22" s="5" t="s">
        <v>48</v>
      </c>
      <c r="E22" s="5" t="s">
        <v>32</v>
      </c>
      <c r="F22" s="5" t="s">
        <v>58</v>
      </c>
      <c r="G22" s="5" t="s">
        <v>90</v>
      </c>
      <c r="H22" s="5" t="s">
        <v>35</v>
      </c>
      <c r="I22" s="5" t="s">
        <v>137</v>
      </c>
      <c r="J22" s="5" t="s">
        <v>37</v>
      </c>
      <c r="K22" s="5" t="s">
        <v>39</v>
      </c>
      <c r="L22" s="5" t="s">
        <v>52</v>
      </c>
      <c r="M22" s="5" t="s">
        <v>37</v>
      </c>
      <c r="N22" s="5" t="s">
        <v>40</v>
      </c>
      <c r="O22" s="5" t="s">
        <v>42</v>
      </c>
      <c r="P22" s="5" t="s">
        <v>54</v>
      </c>
      <c r="Q22" s="5" t="s">
        <v>54</v>
      </c>
      <c r="R22" s="5" t="s">
        <v>303</v>
      </c>
      <c r="S22" s="5" t="s">
        <v>303</v>
      </c>
      <c r="T22" s="5" t="s">
        <v>40</v>
      </c>
      <c r="U22" s="5" t="s">
        <v>40</v>
      </c>
      <c r="V22" s="5" t="s">
        <v>42</v>
      </c>
      <c r="W22" s="5" t="s">
        <v>42</v>
      </c>
      <c r="X22" s="5" t="s">
        <v>77</v>
      </c>
      <c r="Y22" s="5">
        <v>8</v>
      </c>
      <c r="Z22" s="5">
        <v>15</v>
      </c>
      <c r="AA22" s="5">
        <v>5</v>
      </c>
      <c r="AB22" s="5">
        <v>4</v>
      </c>
      <c r="AC22" s="5">
        <v>5</v>
      </c>
      <c r="AD22" s="5">
        <v>5</v>
      </c>
      <c r="AE22" s="5">
        <v>5</v>
      </c>
      <c r="AF22" s="5">
        <v>4</v>
      </c>
      <c r="AG22" s="5">
        <v>4</v>
      </c>
      <c r="AH22" s="5">
        <v>5</v>
      </c>
      <c r="AI22" s="5">
        <v>5</v>
      </c>
      <c r="AJ22" s="5">
        <v>37.5</v>
      </c>
      <c r="AK22" s="5" t="s">
        <v>274</v>
      </c>
      <c r="AL22" s="5" t="s">
        <v>274</v>
      </c>
      <c r="AM22" s="5" t="s">
        <v>274</v>
      </c>
      <c r="AN22" s="5" t="s">
        <v>274</v>
      </c>
      <c r="AO22" s="5">
        <v>0</v>
      </c>
      <c r="AP22" s="5">
        <v>2</v>
      </c>
      <c r="AQ22" s="5">
        <v>66.666666666666657</v>
      </c>
      <c r="AR22" s="5">
        <v>48</v>
      </c>
      <c r="AS22" s="5">
        <v>3</v>
      </c>
      <c r="AT22" s="5">
        <v>1</v>
      </c>
      <c r="AU22" s="5">
        <v>37.5</v>
      </c>
      <c r="AV22" s="5">
        <v>2</v>
      </c>
      <c r="AW22" s="9">
        <v>0.66666666666666663</v>
      </c>
      <c r="AX22" s="5">
        <v>2300000</v>
      </c>
      <c r="AY22" s="5">
        <v>191667</v>
      </c>
      <c r="AZ22" s="5">
        <v>1309</v>
      </c>
      <c r="BA22" s="5">
        <v>2618</v>
      </c>
      <c r="BB22" s="5">
        <v>13090</v>
      </c>
      <c r="BC22" s="5">
        <v>52360</v>
      </c>
      <c r="BD22" s="5">
        <v>628320</v>
      </c>
      <c r="BE22" s="5">
        <v>1650</v>
      </c>
      <c r="BF22" s="5">
        <v>19800</v>
      </c>
      <c r="BG22" s="5">
        <v>608520</v>
      </c>
    </row>
    <row r="23" spans="1:59" x14ac:dyDescent="0.3">
      <c r="A23" s="5" t="s">
        <v>27</v>
      </c>
      <c r="B23" s="2" t="s">
        <v>227</v>
      </c>
      <c r="C23" s="5" t="s">
        <v>67</v>
      </c>
      <c r="D23" s="5" t="s">
        <v>141</v>
      </c>
      <c r="E23" s="5" t="s">
        <v>32</v>
      </c>
      <c r="F23" s="5" t="s">
        <v>33</v>
      </c>
      <c r="G23" s="5" t="s">
        <v>50</v>
      </c>
      <c r="H23" s="5" t="s">
        <v>35</v>
      </c>
      <c r="I23" s="5" t="s">
        <v>71</v>
      </c>
      <c r="J23" s="5" t="s">
        <v>37</v>
      </c>
      <c r="K23" s="5" t="s">
        <v>39</v>
      </c>
      <c r="L23" s="5" t="s">
        <v>52</v>
      </c>
      <c r="M23" s="5" t="s">
        <v>53</v>
      </c>
      <c r="N23" s="5" t="s">
        <v>54</v>
      </c>
      <c r="O23" s="5" t="s">
        <v>42</v>
      </c>
      <c r="P23" s="5" t="s">
        <v>54</v>
      </c>
      <c r="Q23" s="5" t="s">
        <v>40</v>
      </c>
      <c r="R23" s="5" t="s">
        <v>303</v>
      </c>
      <c r="S23" s="5" t="s">
        <v>303</v>
      </c>
      <c r="T23" s="5" t="s">
        <v>54</v>
      </c>
      <c r="U23" s="5" t="s">
        <v>42</v>
      </c>
      <c r="V23" s="5" t="s">
        <v>42</v>
      </c>
      <c r="W23" s="5" t="s">
        <v>42</v>
      </c>
      <c r="X23" s="5" t="s">
        <v>40</v>
      </c>
      <c r="Y23" s="5">
        <v>8</v>
      </c>
      <c r="Z23" s="5">
        <v>9.5</v>
      </c>
      <c r="AA23" s="5">
        <v>5</v>
      </c>
      <c r="AB23" s="5">
        <v>5</v>
      </c>
      <c r="AC23" s="5">
        <v>5</v>
      </c>
      <c r="AD23" s="5">
        <v>5</v>
      </c>
      <c r="AE23" s="5">
        <v>4</v>
      </c>
      <c r="AF23" s="5">
        <v>5</v>
      </c>
      <c r="AG23" s="5">
        <v>5</v>
      </c>
      <c r="AH23" s="5">
        <v>5</v>
      </c>
      <c r="AI23" s="5">
        <v>5</v>
      </c>
      <c r="AJ23" s="5">
        <v>37.5</v>
      </c>
      <c r="AK23" s="5" t="s">
        <v>274</v>
      </c>
      <c r="AL23" s="5" t="s">
        <v>274</v>
      </c>
      <c r="AM23" s="5" t="s">
        <v>274</v>
      </c>
      <c r="AN23" s="5" t="s">
        <v>274</v>
      </c>
      <c r="AO23" s="5">
        <v>1</v>
      </c>
      <c r="AP23" s="5">
        <v>2</v>
      </c>
      <c r="AQ23" s="5">
        <v>66.666666666666657</v>
      </c>
      <c r="AR23" s="5">
        <v>48</v>
      </c>
      <c r="AS23" s="5">
        <v>3</v>
      </c>
      <c r="AT23" s="5">
        <v>1</v>
      </c>
      <c r="AU23" s="5">
        <v>17.5</v>
      </c>
      <c r="AV23" s="5">
        <v>2</v>
      </c>
      <c r="AW23" s="9">
        <v>0.66666666666666663</v>
      </c>
      <c r="AX23" s="5">
        <v>1850000</v>
      </c>
      <c r="AY23" s="5">
        <v>154167</v>
      </c>
      <c r="AZ23" s="5">
        <v>876</v>
      </c>
      <c r="BA23" s="5">
        <v>1752</v>
      </c>
      <c r="BB23" s="5">
        <v>8760</v>
      </c>
      <c r="BC23" s="5">
        <v>35040</v>
      </c>
      <c r="BD23" s="5">
        <v>420480</v>
      </c>
      <c r="BE23" s="5">
        <v>1650</v>
      </c>
      <c r="BF23" s="5">
        <v>19800</v>
      </c>
      <c r="BG23" s="5">
        <v>400680</v>
      </c>
    </row>
    <row r="24" spans="1:59" x14ac:dyDescent="0.3">
      <c r="A24" s="5" t="s">
        <v>27</v>
      </c>
      <c r="B24" s="2" t="s">
        <v>46</v>
      </c>
      <c r="C24" s="5" t="s">
        <v>47</v>
      </c>
      <c r="D24" s="5" t="s">
        <v>143</v>
      </c>
      <c r="E24" s="5" t="s">
        <v>32</v>
      </c>
      <c r="F24" s="5" t="s">
        <v>144</v>
      </c>
      <c r="G24" s="5" t="s">
        <v>34</v>
      </c>
      <c r="H24" s="5" t="s">
        <v>145</v>
      </c>
      <c r="I24" s="5" t="s">
        <v>51</v>
      </c>
      <c r="J24" s="5" t="s">
        <v>53</v>
      </c>
      <c r="K24" s="5" t="s">
        <v>39</v>
      </c>
      <c r="L24" s="5" t="s">
        <v>52</v>
      </c>
      <c r="M24" s="5" t="s">
        <v>53</v>
      </c>
      <c r="N24" s="5" t="s">
        <v>40</v>
      </c>
      <c r="O24" s="5" t="s">
        <v>42</v>
      </c>
      <c r="P24" s="5" t="s">
        <v>54</v>
      </c>
      <c r="Q24" s="5" t="s">
        <v>54</v>
      </c>
      <c r="R24" s="5" t="s">
        <v>303</v>
      </c>
      <c r="S24" s="5" t="s">
        <v>303</v>
      </c>
      <c r="T24" s="5" t="s">
        <v>40</v>
      </c>
      <c r="U24" s="5" t="s">
        <v>41</v>
      </c>
      <c r="V24" s="5" t="s">
        <v>40</v>
      </c>
      <c r="W24" s="5" t="s">
        <v>40</v>
      </c>
      <c r="X24" s="5" t="s">
        <v>77</v>
      </c>
      <c r="Y24" s="5">
        <v>4</v>
      </c>
      <c r="Z24" s="5">
        <v>5</v>
      </c>
      <c r="AA24" s="5">
        <v>2</v>
      </c>
      <c r="AB24" s="5">
        <v>4</v>
      </c>
      <c r="AC24" s="5">
        <v>5</v>
      </c>
      <c r="AD24" s="5">
        <v>5</v>
      </c>
      <c r="AE24" s="5">
        <v>5</v>
      </c>
      <c r="AF24" s="5">
        <v>4</v>
      </c>
      <c r="AG24" s="5">
        <v>3</v>
      </c>
      <c r="AH24" s="5">
        <v>4</v>
      </c>
      <c r="AI24" s="5">
        <v>4</v>
      </c>
      <c r="AJ24" s="5">
        <v>17.5</v>
      </c>
      <c r="AK24" s="5" t="s">
        <v>274</v>
      </c>
      <c r="AL24" s="5" t="s">
        <v>275</v>
      </c>
      <c r="AM24" s="5" t="s">
        <v>274</v>
      </c>
      <c r="AN24" s="5" t="s">
        <v>274</v>
      </c>
      <c r="AO24" s="5">
        <v>0</v>
      </c>
      <c r="AP24" s="5">
        <v>2</v>
      </c>
      <c r="AQ24" s="5">
        <v>66.666666666666657</v>
      </c>
      <c r="AR24" s="5">
        <v>43.099999999999987</v>
      </c>
      <c r="AS24" s="5">
        <v>3</v>
      </c>
      <c r="AT24" s="5">
        <v>1</v>
      </c>
      <c r="AU24" s="5">
        <v>17.5</v>
      </c>
      <c r="AV24" s="5">
        <v>2</v>
      </c>
      <c r="AW24" s="9">
        <v>0.66666666666666663</v>
      </c>
      <c r="AX24" s="5">
        <v>1000000</v>
      </c>
      <c r="AY24" s="5">
        <v>83333</v>
      </c>
      <c r="AZ24" s="5">
        <v>568</v>
      </c>
      <c r="BA24" s="5">
        <v>1136</v>
      </c>
      <c r="BB24" s="5">
        <v>5680</v>
      </c>
      <c r="BC24" s="5">
        <v>22720</v>
      </c>
      <c r="BD24" s="5">
        <v>272640</v>
      </c>
      <c r="BE24" s="5">
        <v>1650</v>
      </c>
      <c r="BF24" s="5">
        <v>19800</v>
      </c>
      <c r="BG24" s="5">
        <v>252840</v>
      </c>
    </row>
    <row r="25" spans="1:59" x14ac:dyDescent="0.3">
      <c r="A25" s="5" t="s">
        <v>27</v>
      </c>
      <c r="B25" s="2" t="s">
        <v>227</v>
      </c>
      <c r="C25" s="5" t="s">
        <v>67</v>
      </c>
      <c r="D25" s="5" t="s">
        <v>149</v>
      </c>
      <c r="E25" s="5" t="s">
        <v>98</v>
      </c>
      <c r="F25" s="5" t="s">
        <v>303</v>
      </c>
      <c r="G25" s="5" t="s">
        <v>303</v>
      </c>
      <c r="H25" s="5" t="s">
        <v>303</v>
      </c>
      <c r="I25" s="5" t="s">
        <v>303</v>
      </c>
      <c r="J25" s="5" t="s">
        <v>303</v>
      </c>
      <c r="K25" s="5" t="s">
        <v>303</v>
      </c>
      <c r="L25" s="5" t="s">
        <v>303</v>
      </c>
      <c r="M25" s="5" t="s">
        <v>303</v>
      </c>
      <c r="N25" s="5" t="s">
        <v>303</v>
      </c>
      <c r="O25" s="5" t="s">
        <v>303</v>
      </c>
      <c r="P25" s="5" t="s">
        <v>303</v>
      </c>
      <c r="Q25" s="5" t="s">
        <v>303</v>
      </c>
      <c r="R25" s="5" t="s">
        <v>150</v>
      </c>
      <c r="S25" s="5" t="s">
        <v>77</v>
      </c>
      <c r="T25" s="5" t="s">
        <v>54</v>
      </c>
      <c r="U25" s="5" t="s">
        <v>42</v>
      </c>
      <c r="V25" s="5" t="s">
        <v>42</v>
      </c>
      <c r="W25" s="5" t="s">
        <v>42</v>
      </c>
      <c r="X25" s="5" t="s">
        <v>77</v>
      </c>
      <c r="Y25" s="5">
        <v>8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5</v>
      </c>
      <c r="AG25" s="5">
        <v>5</v>
      </c>
      <c r="AH25" s="5">
        <v>5</v>
      </c>
      <c r="AI25" s="5">
        <v>5</v>
      </c>
      <c r="AJ25" s="5">
        <v>0</v>
      </c>
      <c r="AK25" s="5" t="s">
        <v>274</v>
      </c>
      <c r="AL25" s="5" t="s">
        <v>274</v>
      </c>
      <c r="AM25" s="5" t="s">
        <v>274</v>
      </c>
      <c r="AN25" s="5" t="s">
        <v>274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9">
        <v>0</v>
      </c>
      <c r="AX25" s="5">
        <v>1850000</v>
      </c>
      <c r="AY25" s="5">
        <v>154167</v>
      </c>
      <c r="AZ25" s="5">
        <v>876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</row>
    <row r="26" spans="1:59" x14ac:dyDescent="0.3">
      <c r="A26" s="5" t="s">
        <v>27</v>
      </c>
      <c r="B26" s="2" t="s">
        <v>46</v>
      </c>
      <c r="C26" s="5" t="s">
        <v>47</v>
      </c>
      <c r="D26" s="5" t="s">
        <v>48</v>
      </c>
      <c r="E26" s="5" t="s">
        <v>32</v>
      </c>
      <c r="F26" s="5" t="s">
        <v>68</v>
      </c>
      <c r="G26" s="5" t="s">
        <v>34</v>
      </c>
      <c r="H26" s="5" t="s">
        <v>80</v>
      </c>
      <c r="I26" s="5" t="s">
        <v>81</v>
      </c>
      <c r="J26" s="5" t="s">
        <v>65</v>
      </c>
      <c r="K26" s="5" t="s">
        <v>52</v>
      </c>
      <c r="L26" s="5" t="s">
        <v>52</v>
      </c>
      <c r="M26" s="5" t="s">
        <v>112</v>
      </c>
      <c r="N26" s="5" t="s">
        <v>40</v>
      </c>
      <c r="O26" s="5" t="s">
        <v>40</v>
      </c>
      <c r="P26" s="5" t="s">
        <v>40</v>
      </c>
      <c r="Q26" s="5" t="s">
        <v>40</v>
      </c>
      <c r="R26" s="5" t="s">
        <v>303</v>
      </c>
      <c r="S26" s="5" t="s">
        <v>303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">
        <v>4</v>
      </c>
      <c r="Z26" s="5">
        <v>5</v>
      </c>
      <c r="AA26" s="5">
        <v>1</v>
      </c>
      <c r="AB26" s="5">
        <v>4</v>
      </c>
      <c r="AC26" s="5">
        <v>4</v>
      </c>
      <c r="AD26" s="5">
        <v>4</v>
      </c>
      <c r="AE26" s="5">
        <v>4</v>
      </c>
      <c r="AF26" s="5">
        <v>4</v>
      </c>
      <c r="AG26" s="5">
        <v>4</v>
      </c>
      <c r="AH26" s="5">
        <v>4</v>
      </c>
      <c r="AI26" s="5">
        <v>4</v>
      </c>
      <c r="AJ26" s="5">
        <v>5</v>
      </c>
      <c r="AK26" s="5" t="s">
        <v>274</v>
      </c>
      <c r="AL26" s="5" t="s">
        <v>274</v>
      </c>
      <c r="AM26" s="5" t="s">
        <v>274</v>
      </c>
      <c r="AN26" s="5" t="s">
        <v>274</v>
      </c>
      <c r="AO26" s="5">
        <v>1</v>
      </c>
      <c r="AP26" s="5">
        <v>0</v>
      </c>
      <c r="AQ26" s="5">
        <v>0</v>
      </c>
      <c r="AR26" s="5">
        <v>17.3</v>
      </c>
      <c r="AS26" s="5">
        <v>1</v>
      </c>
      <c r="AT26" s="5">
        <v>1</v>
      </c>
      <c r="AU26" s="5">
        <v>5</v>
      </c>
      <c r="AV26" s="5">
        <v>0</v>
      </c>
      <c r="AW26" s="9">
        <v>0</v>
      </c>
      <c r="AX26" s="5">
        <v>1000000</v>
      </c>
      <c r="AY26" s="5">
        <v>83333</v>
      </c>
      <c r="AZ26" s="5">
        <v>568</v>
      </c>
      <c r="BA26" s="5">
        <v>0</v>
      </c>
      <c r="BB26" s="5">
        <v>0</v>
      </c>
      <c r="BC26" s="5">
        <v>0</v>
      </c>
      <c r="BD26" s="5">
        <v>0</v>
      </c>
      <c r="BE26" s="5">
        <v>1650</v>
      </c>
      <c r="BF26" s="5">
        <v>19800</v>
      </c>
      <c r="BG26" s="5">
        <v>-19800</v>
      </c>
    </row>
    <row r="27" spans="1:59" x14ac:dyDescent="0.3">
      <c r="A27" s="5" t="s">
        <v>44</v>
      </c>
      <c r="B27" s="2" t="s">
        <v>73</v>
      </c>
      <c r="C27" s="5" t="s">
        <v>30</v>
      </c>
      <c r="D27" s="5" t="s">
        <v>48</v>
      </c>
      <c r="E27" s="5" t="s">
        <v>32</v>
      </c>
      <c r="F27" s="5" t="s">
        <v>49</v>
      </c>
      <c r="G27" s="5" t="s">
        <v>90</v>
      </c>
      <c r="H27" s="5" t="s">
        <v>35</v>
      </c>
      <c r="I27" s="5" t="s">
        <v>154</v>
      </c>
      <c r="J27" s="5" t="s">
        <v>53</v>
      </c>
      <c r="K27" s="5" t="s">
        <v>38</v>
      </c>
      <c r="L27" s="5" t="s">
        <v>39</v>
      </c>
      <c r="M27" s="5" t="s">
        <v>53</v>
      </c>
      <c r="N27" s="5" t="s">
        <v>41</v>
      </c>
      <c r="O27" s="5" t="s">
        <v>40</v>
      </c>
      <c r="P27" s="5" t="s">
        <v>41</v>
      </c>
      <c r="Q27" s="5" t="s">
        <v>76</v>
      </c>
      <c r="R27" s="5" t="s">
        <v>303</v>
      </c>
      <c r="S27" s="5" t="s">
        <v>303</v>
      </c>
      <c r="T27" s="5" t="s">
        <v>40</v>
      </c>
      <c r="U27" s="5" t="s">
        <v>40</v>
      </c>
      <c r="V27" s="5" t="s">
        <v>40</v>
      </c>
      <c r="W27" s="5" t="s">
        <v>41</v>
      </c>
      <c r="X27" s="5" t="s">
        <v>54</v>
      </c>
      <c r="Y27" s="5">
        <v>1</v>
      </c>
      <c r="Z27" s="5">
        <v>15</v>
      </c>
      <c r="AA27" s="5">
        <v>5</v>
      </c>
      <c r="AB27" s="5">
        <v>3</v>
      </c>
      <c r="AC27" s="5">
        <v>4</v>
      </c>
      <c r="AD27" s="5">
        <v>3</v>
      </c>
      <c r="AE27" s="5">
        <v>2</v>
      </c>
      <c r="AF27" s="5">
        <v>4</v>
      </c>
      <c r="AG27" s="5">
        <v>4</v>
      </c>
      <c r="AH27" s="5">
        <v>4</v>
      </c>
      <c r="AI27" s="5">
        <v>3</v>
      </c>
      <c r="AJ27" s="5">
        <v>17.5</v>
      </c>
      <c r="AK27" s="5" t="s">
        <v>274</v>
      </c>
      <c r="AL27" s="5" t="s">
        <v>274</v>
      </c>
      <c r="AM27" s="5" t="s">
        <v>274</v>
      </c>
      <c r="AN27" s="5" t="s">
        <v>275</v>
      </c>
      <c r="AO27" s="5">
        <v>1</v>
      </c>
      <c r="AP27" s="5">
        <v>2</v>
      </c>
      <c r="AQ27" s="5">
        <v>40</v>
      </c>
      <c r="AR27" s="5">
        <v>29</v>
      </c>
      <c r="AS27" s="5">
        <v>5</v>
      </c>
      <c r="AT27" s="5">
        <v>3</v>
      </c>
      <c r="AU27" s="5">
        <v>17.5</v>
      </c>
      <c r="AV27" s="5">
        <v>2</v>
      </c>
      <c r="AW27" s="9">
        <v>0.4</v>
      </c>
      <c r="AX27" s="5">
        <v>500000</v>
      </c>
      <c r="AY27" s="5">
        <v>41667</v>
      </c>
      <c r="AZ27" s="5">
        <v>284</v>
      </c>
      <c r="BA27" s="5">
        <v>568</v>
      </c>
      <c r="BB27" s="5">
        <v>2840</v>
      </c>
      <c r="BC27" s="5">
        <v>11360</v>
      </c>
      <c r="BD27" s="5">
        <v>136320</v>
      </c>
      <c r="BE27" s="5">
        <v>1650</v>
      </c>
      <c r="BF27" s="5">
        <v>19800</v>
      </c>
      <c r="BG27" s="5">
        <v>116520</v>
      </c>
    </row>
    <row r="28" spans="1:59" x14ac:dyDescent="0.3">
      <c r="A28" s="5" t="s">
        <v>44</v>
      </c>
      <c r="B28" s="2" t="s">
        <v>227</v>
      </c>
      <c r="C28" s="5" t="s">
        <v>47</v>
      </c>
      <c r="D28" s="5" t="s">
        <v>158</v>
      </c>
      <c r="E28" s="5" t="s">
        <v>32</v>
      </c>
      <c r="F28" s="5" t="s">
        <v>159</v>
      </c>
      <c r="G28" s="5" t="s">
        <v>90</v>
      </c>
      <c r="H28" s="5" t="s">
        <v>35</v>
      </c>
      <c r="I28" s="5" t="s">
        <v>160</v>
      </c>
      <c r="J28" s="5" t="s">
        <v>53</v>
      </c>
      <c r="K28" s="5" t="s">
        <v>38</v>
      </c>
      <c r="L28" s="5" t="s">
        <v>52</v>
      </c>
      <c r="M28" s="5" t="s">
        <v>53</v>
      </c>
      <c r="N28" s="5" t="s">
        <v>40</v>
      </c>
      <c r="O28" s="5" t="s">
        <v>40</v>
      </c>
      <c r="P28" s="5" t="s">
        <v>40</v>
      </c>
      <c r="Q28" s="5" t="s">
        <v>40</v>
      </c>
      <c r="R28" s="5" t="s">
        <v>303</v>
      </c>
      <c r="S28" s="5" t="s">
        <v>303</v>
      </c>
      <c r="T28" s="5" t="s">
        <v>40</v>
      </c>
      <c r="U28" s="5" t="s">
        <v>40</v>
      </c>
      <c r="V28" s="5" t="s">
        <v>40</v>
      </c>
      <c r="W28" s="5" t="s">
        <v>42</v>
      </c>
      <c r="X28" s="5" t="s">
        <v>40</v>
      </c>
      <c r="Y28" s="5">
        <v>4</v>
      </c>
      <c r="Z28" s="5">
        <v>15</v>
      </c>
      <c r="AA28" s="5">
        <v>5</v>
      </c>
      <c r="AB28" s="5">
        <v>4</v>
      </c>
      <c r="AC28" s="5">
        <v>4</v>
      </c>
      <c r="AD28" s="5">
        <v>4</v>
      </c>
      <c r="AE28" s="5">
        <v>4</v>
      </c>
      <c r="AF28" s="5">
        <v>4</v>
      </c>
      <c r="AG28" s="5">
        <v>4</v>
      </c>
      <c r="AH28" s="5">
        <v>4</v>
      </c>
      <c r="AI28" s="5">
        <v>5</v>
      </c>
      <c r="AJ28" s="5">
        <v>17.5</v>
      </c>
      <c r="AK28" s="5" t="s">
        <v>274</v>
      </c>
      <c r="AL28" s="5" t="s">
        <v>274</v>
      </c>
      <c r="AM28" s="5" t="s">
        <v>274</v>
      </c>
      <c r="AN28" s="5" t="s">
        <v>274</v>
      </c>
      <c r="AO28" s="5">
        <v>1</v>
      </c>
      <c r="AP28" s="5">
        <v>4</v>
      </c>
      <c r="AQ28" s="5">
        <v>80</v>
      </c>
      <c r="AR28" s="5">
        <v>45</v>
      </c>
      <c r="AS28" s="5">
        <v>5</v>
      </c>
      <c r="AT28" s="5">
        <v>1</v>
      </c>
      <c r="AU28" s="5">
        <v>17.5</v>
      </c>
      <c r="AV28" s="5">
        <v>4</v>
      </c>
      <c r="AW28" s="9">
        <v>0.8</v>
      </c>
      <c r="AX28" s="5">
        <v>1000000</v>
      </c>
      <c r="AY28" s="5">
        <v>83333</v>
      </c>
      <c r="AZ28" s="5">
        <v>568</v>
      </c>
      <c r="BA28" s="5">
        <v>2272</v>
      </c>
      <c r="BB28" s="5">
        <v>11360</v>
      </c>
      <c r="BC28" s="5">
        <v>45440</v>
      </c>
      <c r="BD28" s="5">
        <v>545280</v>
      </c>
      <c r="BE28" s="5">
        <v>1650</v>
      </c>
      <c r="BF28" s="5">
        <v>19800</v>
      </c>
      <c r="BG28" s="5">
        <v>525480</v>
      </c>
    </row>
    <row r="29" spans="1:59" x14ac:dyDescent="0.3">
      <c r="A29" s="5" t="s">
        <v>44</v>
      </c>
      <c r="B29" s="2" t="s">
        <v>227</v>
      </c>
      <c r="C29" s="5" t="s">
        <v>67</v>
      </c>
      <c r="D29" s="5" t="s">
        <v>48</v>
      </c>
      <c r="E29" s="5" t="s">
        <v>32</v>
      </c>
      <c r="F29" s="5" t="s">
        <v>164</v>
      </c>
      <c r="G29" s="5" t="s">
        <v>50</v>
      </c>
      <c r="H29" s="5" t="s">
        <v>35</v>
      </c>
      <c r="I29" s="5" t="s">
        <v>165</v>
      </c>
      <c r="J29" s="5" t="s">
        <v>37</v>
      </c>
      <c r="K29" s="5" t="s">
        <v>39</v>
      </c>
      <c r="L29" s="5" t="s">
        <v>52</v>
      </c>
      <c r="M29" s="5" t="s">
        <v>112</v>
      </c>
      <c r="N29" s="5" t="s">
        <v>41</v>
      </c>
      <c r="O29" s="5" t="s">
        <v>40</v>
      </c>
      <c r="P29" s="5" t="s">
        <v>40</v>
      </c>
      <c r="Q29" s="5" t="s">
        <v>40</v>
      </c>
      <c r="R29" s="5" t="s">
        <v>303</v>
      </c>
      <c r="S29" s="5" t="s">
        <v>303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77</v>
      </c>
      <c r="Y29" s="5">
        <v>8</v>
      </c>
      <c r="Z29" s="5">
        <v>9.5</v>
      </c>
      <c r="AA29" s="5">
        <v>5</v>
      </c>
      <c r="AB29" s="5">
        <v>3</v>
      </c>
      <c r="AC29" s="5">
        <v>4</v>
      </c>
      <c r="AD29" s="5">
        <v>4</v>
      </c>
      <c r="AE29" s="5">
        <v>4</v>
      </c>
      <c r="AF29" s="5">
        <v>4</v>
      </c>
      <c r="AG29" s="5">
        <v>4</v>
      </c>
      <c r="AH29" s="5">
        <v>4</v>
      </c>
      <c r="AI29" s="5">
        <v>4</v>
      </c>
      <c r="AJ29" s="5">
        <v>37.5</v>
      </c>
      <c r="AK29" s="5" t="s">
        <v>274</v>
      </c>
      <c r="AL29" s="5" t="s">
        <v>274</v>
      </c>
      <c r="AM29" s="5" t="s">
        <v>274</v>
      </c>
      <c r="AN29" s="5" t="s">
        <v>274</v>
      </c>
      <c r="AO29" s="5">
        <v>0</v>
      </c>
      <c r="AP29" s="5">
        <v>2</v>
      </c>
      <c r="AQ29" s="5">
        <v>66.666666666666657</v>
      </c>
      <c r="AR29" s="5">
        <v>44</v>
      </c>
      <c r="AS29" s="5">
        <v>3</v>
      </c>
      <c r="AT29" s="5">
        <v>1</v>
      </c>
      <c r="AU29" s="5">
        <v>5</v>
      </c>
      <c r="AV29" s="5">
        <v>2</v>
      </c>
      <c r="AW29" s="9">
        <v>0.66666666666666663</v>
      </c>
      <c r="AX29" s="5">
        <v>1850000</v>
      </c>
      <c r="AY29" s="5">
        <v>154167</v>
      </c>
      <c r="AZ29" s="5">
        <v>876</v>
      </c>
      <c r="BA29" s="5">
        <v>1752</v>
      </c>
      <c r="BB29" s="5">
        <v>8760</v>
      </c>
      <c r="BC29" s="5">
        <v>35040</v>
      </c>
      <c r="BD29" s="5">
        <v>420480</v>
      </c>
      <c r="BE29" s="5">
        <v>1650</v>
      </c>
      <c r="BF29" s="5">
        <v>19800</v>
      </c>
      <c r="BG29" s="5">
        <v>400680</v>
      </c>
    </row>
    <row r="30" spans="1:59" x14ac:dyDescent="0.3">
      <c r="A30" s="5" t="s">
        <v>44</v>
      </c>
      <c r="B30" s="2" t="s">
        <v>57</v>
      </c>
      <c r="C30" s="5" t="s">
        <v>47</v>
      </c>
      <c r="D30" s="5" t="s">
        <v>109</v>
      </c>
      <c r="E30" s="5" t="s">
        <v>98</v>
      </c>
      <c r="F30" s="5" t="s">
        <v>303</v>
      </c>
      <c r="G30" s="5" t="s">
        <v>303</v>
      </c>
      <c r="H30" s="5" t="s">
        <v>303</v>
      </c>
      <c r="I30" s="5" t="s">
        <v>303</v>
      </c>
      <c r="J30" s="5" t="s">
        <v>303</v>
      </c>
      <c r="K30" s="5" t="s">
        <v>303</v>
      </c>
      <c r="L30" s="5" t="s">
        <v>303</v>
      </c>
      <c r="M30" s="5" t="s">
        <v>303</v>
      </c>
      <c r="N30" s="5" t="s">
        <v>303</v>
      </c>
      <c r="O30" s="5" t="s">
        <v>303</v>
      </c>
      <c r="P30" s="5" t="s">
        <v>303</v>
      </c>
      <c r="Q30" s="5" t="s">
        <v>303</v>
      </c>
      <c r="R30" s="5" t="s">
        <v>99</v>
      </c>
      <c r="S30" s="5" t="s">
        <v>40</v>
      </c>
      <c r="T30" s="5" t="s">
        <v>40</v>
      </c>
      <c r="U30" s="5" t="s">
        <v>41</v>
      </c>
      <c r="V30" s="5" t="s">
        <v>40</v>
      </c>
      <c r="W30" s="5" t="s">
        <v>41</v>
      </c>
      <c r="X30" s="5" t="s">
        <v>77</v>
      </c>
      <c r="Y30" s="5">
        <v>4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4</v>
      </c>
      <c r="AG30" s="5">
        <v>3</v>
      </c>
      <c r="AH30" s="5">
        <v>4</v>
      </c>
      <c r="AI30" s="5">
        <v>3</v>
      </c>
      <c r="AJ30" s="5">
        <v>0</v>
      </c>
      <c r="AK30" s="5" t="s">
        <v>274</v>
      </c>
      <c r="AL30" s="5" t="s">
        <v>275</v>
      </c>
      <c r="AM30" s="5" t="s">
        <v>274</v>
      </c>
      <c r="AN30" s="5" t="s">
        <v>275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9">
        <v>0</v>
      </c>
      <c r="AX30" s="5">
        <v>1250000</v>
      </c>
      <c r="AY30" s="5">
        <v>104167</v>
      </c>
      <c r="AZ30" s="5">
        <v>710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</row>
    <row r="31" spans="1:59" x14ac:dyDescent="0.3">
      <c r="A31" s="5" t="s">
        <v>44</v>
      </c>
      <c r="B31" s="2" t="s">
        <v>62</v>
      </c>
      <c r="C31" s="5" t="s">
        <v>47</v>
      </c>
      <c r="D31" s="5" t="s">
        <v>48</v>
      </c>
      <c r="E31" s="5" t="s">
        <v>32</v>
      </c>
      <c r="F31" s="5" t="s">
        <v>170</v>
      </c>
      <c r="G31" s="5" t="s">
        <v>90</v>
      </c>
      <c r="H31" s="5" t="s">
        <v>70</v>
      </c>
      <c r="I31" s="5" t="s">
        <v>171</v>
      </c>
      <c r="J31" s="5" t="s">
        <v>53</v>
      </c>
      <c r="K31" s="5" t="s">
        <v>39</v>
      </c>
      <c r="L31" s="5" t="s">
        <v>52</v>
      </c>
      <c r="M31" s="5" t="s">
        <v>53</v>
      </c>
      <c r="N31" s="5" t="s">
        <v>40</v>
      </c>
      <c r="O31" s="5" t="s">
        <v>42</v>
      </c>
      <c r="P31" s="5" t="s">
        <v>40</v>
      </c>
      <c r="Q31" s="5" t="s">
        <v>40</v>
      </c>
      <c r="R31" s="5" t="s">
        <v>303</v>
      </c>
      <c r="S31" s="5" t="s">
        <v>303</v>
      </c>
      <c r="T31" s="5" t="s">
        <v>41</v>
      </c>
      <c r="U31" s="5" t="s">
        <v>40</v>
      </c>
      <c r="V31" s="5" t="s">
        <v>41</v>
      </c>
      <c r="W31" s="5" t="s">
        <v>42</v>
      </c>
      <c r="X31" s="5" t="s">
        <v>77</v>
      </c>
      <c r="Y31" s="5">
        <v>4</v>
      </c>
      <c r="Z31" s="5">
        <v>15</v>
      </c>
      <c r="AA31" s="5">
        <v>3</v>
      </c>
      <c r="AB31" s="5">
        <v>4</v>
      </c>
      <c r="AC31" s="5">
        <v>5</v>
      </c>
      <c r="AD31" s="5">
        <v>4</v>
      </c>
      <c r="AE31" s="5">
        <v>4</v>
      </c>
      <c r="AF31" s="5">
        <v>3</v>
      </c>
      <c r="AG31" s="5">
        <v>4</v>
      </c>
      <c r="AH31" s="5">
        <v>3</v>
      </c>
      <c r="AI31" s="5">
        <v>5</v>
      </c>
      <c r="AJ31" s="5">
        <v>17.5</v>
      </c>
      <c r="AK31" s="5" t="s">
        <v>275</v>
      </c>
      <c r="AL31" s="5" t="s">
        <v>274</v>
      </c>
      <c r="AM31" s="5" t="s">
        <v>275</v>
      </c>
      <c r="AN31" s="5" t="s">
        <v>274</v>
      </c>
      <c r="AO31" s="5">
        <v>0</v>
      </c>
      <c r="AP31" s="5">
        <v>2</v>
      </c>
      <c r="AQ31" s="5">
        <v>66.666666666666657</v>
      </c>
      <c r="AR31" s="5">
        <v>41.4</v>
      </c>
      <c r="AS31" s="5">
        <v>3</v>
      </c>
      <c r="AT31" s="5">
        <v>1</v>
      </c>
      <c r="AU31" s="5">
        <v>17.5</v>
      </c>
      <c r="AV31" s="5">
        <v>2</v>
      </c>
      <c r="AW31" s="9">
        <v>0.66666666666666663</v>
      </c>
      <c r="AX31" s="5">
        <v>1500000</v>
      </c>
      <c r="AY31" s="5">
        <v>125000</v>
      </c>
      <c r="AZ31" s="5">
        <v>852</v>
      </c>
      <c r="BA31" s="5">
        <v>1704</v>
      </c>
      <c r="BB31" s="5">
        <v>8520</v>
      </c>
      <c r="BC31" s="5">
        <v>34080</v>
      </c>
      <c r="BD31" s="5">
        <v>408960</v>
      </c>
      <c r="BE31" s="5">
        <v>1650</v>
      </c>
      <c r="BF31" s="5">
        <v>19800</v>
      </c>
      <c r="BG31" s="5">
        <v>389160</v>
      </c>
    </row>
    <row r="32" spans="1:59" x14ac:dyDescent="0.3">
      <c r="A32" s="5" t="s">
        <v>27</v>
      </c>
      <c r="B32" s="2" t="s">
        <v>73</v>
      </c>
      <c r="C32" s="5" t="s">
        <v>67</v>
      </c>
      <c r="D32" s="5" t="s">
        <v>48</v>
      </c>
      <c r="E32" s="5" t="s">
        <v>32</v>
      </c>
      <c r="F32" s="5" t="s">
        <v>173</v>
      </c>
      <c r="G32" s="5" t="s">
        <v>50</v>
      </c>
      <c r="H32" s="5" t="s">
        <v>35</v>
      </c>
      <c r="I32" s="5" t="s">
        <v>137</v>
      </c>
      <c r="J32" s="5" t="s">
        <v>84</v>
      </c>
      <c r="K32" s="5" t="s">
        <v>124</v>
      </c>
      <c r="L32" s="5" t="s">
        <v>52</v>
      </c>
      <c r="M32" s="5" t="s">
        <v>85</v>
      </c>
      <c r="N32" s="5" t="s">
        <v>54</v>
      </c>
      <c r="O32" s="5" t="s">
        <v>42</v>
      </c>
      <c r="P32" s="5" t="s">
        <v>54</v>
      </c>
      <c r="Q32" s="5" t="s">
        <v>54</v>
      </c>
      <c r="R32" s="5" t="s">
        <v>303</v>
      </c>
      <c r="S32" s="5" t="s">
        <v>303</v>
      </c>
      <c r="T32" s="5" t="s">
        <v>54</v>
      </c>
      <c r="U32" s="5" t="s">
        <v>42</v>
      </c>
      <c r="V32" s="5" t="s">
        <v>42</v>
      </c>
      <c r="W32" s="5" t="s">
        <v>42</v>
      </c>
      <c r="X32" s="5" t="s">
        <v>54</v>
      </c>
      <c r="Y32" s="5">
        <v>8</v>
      </c>
      <c r="Z32" s="5">
        <v>9.5</v>
      </c>
      <c r="AA32" s="5">
        <v>5</v>
      </c>
      <c r="AB32" s="5">
        <v>5</v>
      </c>
      <c r="AC32" s="5">
        <v>5</v>
      </c>
      <c r="AD32" s="5">
        <v>5</v>
      </c>
      <c r="AE32" s="5">
        <v>5</v>
      </c>
      <c r="AF32" s="5">
        <v>5</v>
      </c>
      <c r="AG32" s="5">
        <v>5</v>
      </c>
      <c r="AH32" s="5">
        <v>5</v>
      </c>
      <c r="AI32" s="5">
        <v>5</v>
      </c>
      <c r="AJ32" s="5">
        <v>60</v>
      </c>
      <c r="AK32" s="5" t="s">
        <v>274</v>
      </c>
      <c r="AL32" s="5" t="s">
        <v>274</v>
      </c>
      <c r="AM32" s="5" t="s">
        <v>274</v>
      </c>
      <c r="AN32" s="5" t="s">
        <v>274</v>
      </c>
      <c r="AO32" s="5">
        <v>1</v>
      </c>
      <c r="AP32" s="5">
        <v>8</v>
      </c>
      <c r="AQ32" s="5">
        <v>88.888888888888886</v>
      </c>
      <c r="AR32" s="5">
        <v>60.166666666666657</v>
      </c>
      <c r="AS32" s="5">
        <v>9</v>
      </c>
      <c r="AT32" s="5">
        <v>1</v>
      </c>
      <c r="AU32" s="5">
        <v>60</v>
      </c>
      <c r="AV32" s="5">
        <v>8</v>
      </c>
      <c r="AW32" s="9">
        <v>0.88888888888888884</v>
      </c>
      <c r="AX32" s="5">
        <v>2300000</v>
      </c>
      <c r="AY32" s="5">
        <v>191667</v>
      </c>
      <c r="AZ32" s="5">
        <v>1309</v>
      </c>
      <c r="BA32" s="5">
        <v>10472</v>
      </c>
      <c r="BB32" s="5">
        <v>52360</v>
      </c>
      <c r="BC32" s="5">
        <v>209440</v>
      </c>
      <c r="BD32" s="5">
        <v>2513280</v>
      </c>
      <c r="BE32" s="5">
        <v>1650</v>
      </c>
      <c r="BF32" s="5">
        <v>19800</v>
      </c>
      <c r="BG32" s="5">
        <v>2493480</v>
      </c>
    </row>
    <row r="33" spans="1:59" x14ac:dyDescent="0.3">
      <c r="A33" s="5" t="s">
        <v>44</v>
      </c>
      <c r="B33" s="2" t="s">
        <v>73</v>
      </c>
      <c r="C33" s="5" t="s">
        <v>67</v>
      </c>
      <c r="D33" s="5" t="s">
        <v>48</v>
      </c>
      <c r="E33" s="5" t="s">
        <v>32</v>
      </c>
      <c r="F33" s="5" t="s">
        <v>175</v>
      </c>
      <c r="G33" s="5" t="s">
        <v>90</v>
      </c>
      <c r="H33" s="5" t="s">
        <v>35</v>
      </c>
      <c r="I33" s="5" t="s">
        <v>137</v>
      </c>
      <c r="J33" s="5" t="s">
        <v>84</v>
      </c>
      <c r="K33" s="5" t="s">
        <v>124</v>
      </c>
      <c r="L33" s="5" t="s">
        <v>52</v>
      </c>
      <c r="M33" s="5" t="s">
        <v>85</v>
      </c>
      <c r="N33" s="5" t="s">
        <v>54</v>
      </c>
      <c r="O33" s="5" t="s">
        <v>42</v>
      </c>
      <c r="P33" s="5" t="s">
        <v>54</v>
      </c>
      <c r="Q33" s="5" t="s">
        <v>54</v>
      </c>
      <c r="R33" s="5" t="s">
        <v>303</v>
      </c>
      <c r="S33" s="5" t="s">
        <v>303</v>
      </c>
      <c r="T33" s="5" t="s">
        <v>54</v>
      </c>
      <c r="U33" s="5" t="s">
        <v>42</v>
      </c>
      <c r="V33" s="5" t="s">
        <v>42</v>
      </c>
      <c r="W33" s="5" t="s">
        <v>42</v>
      </c>
      <c r="X33" s="5" t="s">
        <v>54</v>
      </c>
      <c r="Y33" s="5">
        <v>8</v>
      </c>
      <c r="Z33" s="5">
        <v>15</v>
      </c>
      <c r="AA33" s="5">
        <v>5</v>
      </c>
      <c r="AB33" s="5">
        <v>5</v>
      </c>
      <c r="AC33" s="5">
        <v>5</v>
      </c>
      <c r="AD33" s="5">
        <v>5</v>
      </c>
      <c r="AE33" s="5">
        <v>5</v>
      </c>
      <c r="AF33" s="5">
        <v>5</v>
      </c>
      <c r="AG33" s="5">
        <v>5</v>
      </c>
      <c r="AH33" s="5">
        <v>5</v>
      </c>
      <c r="AI33" s="5">
        <v>5</v>
      </c>
      <c r="AJ33" s="5">
        <v>60</v>
      </c>
      <c r="AK33" s="5" t="s">
        <v>274</v>
      </c>
      <c r="AL33" s="5" t="s">
        <v>274</v>
      </c>
      <c r="AM33" s="5" t="s">
        <v>274</v>
      </c>
      <c r="AN33" s="5" t="s">
        <v>274</v>
      </c>
      <c r="AO33" s="5">
        <v>1</v>
      </c>
      <c r="AP33" s="5">
        <v>8</v>
      </c>
      <c r="AQ33" s="5">
        <v>88.888888888888886</v>
      </c>
      <c r="AR33" s="5">
        <v>60.166666666666657</v>
      </c>
      <c r="AS33" s="5">
        <v>9</v>
      </c>
      <c r="AT33" s="5">
        <v>1</v>
      </c>
      <c r="AU33" s="5">
        <v>60</v>
      </c>
      <c r="AV33" s="5">
        <v>8</v>
      </c>
      <c r="AW33" s="9">
        <v>0.88888888888888884</v>
      </c>
      <c r="AX33" s="5">
        <v>2300000</v>
      </c>
      <c r="AY33" s="5">
        <v>191667</v>
      </c>
      <c r="AZ33" s="5">
        <v>1309</v>
      </c>
      <c r="BA33" s="5">
        <v>10472</v>
      </c>
      <c r="BB33" s="5">
        <v>52360</v>
      </c>
      <c r="BC33" s="5">
        <v>209440</v>
      </c>
      <c r="BD33" s="5">
        <v>2513280</v>
      </c>
      <c r="BE33" s="5">
        <v>1650</v>
      </c>
      <c r="BF33" s="5">
        <v>19800</v>
      </c>
      <c r="BG33" s="5">
        <v>2493480</v>
      </c>
    </row>
    <row r="34" spans="1:59" x14ac:dyDescent="0.3">
      <c r="A34" s="5" t="s">
        <v>44</v>
      </c>
      <c r="B34" s="2" t="s">
        <v>46</v>
      </c>
      <c r="C34" s="5" t="s">
        <v>67</v>
      </c>
      <c r="D34" s="5" t="s">
        <v>109</v>
      </c>
      <c r="E34" s="5" t="s">
        <v>32</v>
      </c>
      <c r="F34" s="5" t="s">
        <v>49</v>
      </c>
      <c r="G34" s="5" t="s">
        <v>34</v>
      </c>
      <c r="H34" s="5" t="s">
        <v>35</v>
      </c>
      <c r="I34" s="5" t="s">
        <v>71</v>
      </c>
      <c r="J34" s="5" t="s">
        <v>53</v>
      </c>
      <c r="K34" s="5" t="s">
        <v>39</v>
      </c>
      <c r="L34" s="5" t="s">
        <v>52</v>
      </c>
      <c r="M34" s="5" t="s">
        <v>37</v>
      </c>
      <c r="N34" s="5" t="s">
        <v>54</v>
      </c>
      <c r="O34" s="5" t="s">
        <v>42</v>
      </c>
      <c r="P34" s="5" t="s">
        <v>54</v>
      </c>
      <c r="Q34" s="5" t="s">
        <v>54</v>
      </c>
      <c r="R34" s="5" t="s">
        <v>303</v>
      </c>
      <c r="S34" s="5" t="s">
        <v>303</v>
      </c>
      <c r="T34" s="5" t="s">
        <v>54</v>
      </c>
      <c r="U34" s="5" t="s">
        <v>42</v>
      </c>
      <c r="V34" s="5" t="s">
        <v>42</v>
      </c>
      <c r="W34" s="5" t="s">
        <v>42</v>
      </c>
      <c r="X34" s="5" t="s">
        <v>54</v>
      </c>
      <c r="Y34" s="5">
        <v>8</v>
      </c>
      <c r="Z34" s="5">
        <v>5</v>
      </c>
      <c r="AA34" s="5">
        <v>5</v>
      </c>
      <c r="AB34" s="5">
        <v>5</v>
      </c>
      <c r="AC34" s="5">
        <v>5</v>
      </c>
      <c r="AD34" s="5">
        <v>5</v>
      </c>
      <c r="AE34" s="5">
        <v>5</v>
      </c>
      <c r="AF34" s="5">
        <v>5</v>
      </c>
      <c r="AG34" s="5">
        <v>5</v>
      </c>
      <c r="AH34" s="5">
        <v>5</v>
      </c>
      <c r="AI34" s="5">
        <v>5</v>
      </c>
      <c r="AJ34" s="5">
        <v>17.5</v>
      </c>
      <c r="AK34" s="5" t="s">
        <v>274</v>
      </c>
      <c r="AL34" s="5" t="s">
        <v>274</v>
      </c>
      <c r="AM34" s="5" t="s">
        <v>274</v>
      </c>
      <c r="AN34" s="5" t="s">
        <v>274</v>
      </c>
      <c r="AO34" s="5">
        <v>1</v>
      </c>
      <c r="AP34" s="5">
        <v>2</v>
      </c>
      <c r="AQ34" s="5">
        <v>66.666666666666657</v>
      </c>
      <c r="AR34" s="5">
        <v>45</v>
      </c>
      <c r="AS34" s="5">
        <v>3</v>
      </c>
      <c r="AT34" s="5">
        <v>1</v>
      </c>
      <c r="AU34" s="5">
        <v>37.5</v>
      </c>
      <c r="AV34" s="5">
        <v>2</v>
      </c>
      <c r="AW34" s="9">
        <v>0.66666666666666663</v>
      </c>
      <c r="AX34" s="5">
        <v>1750000</v>
      </c>
      <c r="AY34" s="5">
        <v>145833</v>
      </c>
      <c r="AZ34" s="5">
        <v>994</v>
      </c>
      <c r="BA34" s="5">
        <v>1988</v>
      </c>
      <c r="BB34" s="5">
        <v>9940</v>
      </c>
      <c r="BC34" s="5">
        <v>39760</v>
      </c>
      <c r="BD34" s="5">
        <v>477120</v>
      </c>
      <c r="BE34" s="5">
        <v>1650</v>
      </c>
      <c r="BF34" s="5">
        <v>19800</v>
      </c>
      <c r="BG34" s="5">
        <v>457320</v>
      </c>
    </row>
    <row r="35" spans="1:59" x14ac:dyDescent="0.3">
      <c r="A35" s="5" t="s">
        <v>44</v>
      </c>
      <c r="B35" s="2" t="s">
        <v>46</v>
      </c>
      <c r="C35" s="5" t="s">
        <v>63</v>
      </c>
      <c r="D35" s="5" t="s">
        <v>48</v>
      </c>
      <c r="E35" s="5" t="s">
        <v>98</v>
      </c>
      <c r="F35" s="5" t="s">
        <v>303</v>
      </c>
      <c r="G35" s="5" t="s">
        <v>303</v>
      </c>
      <c r="H35" s="5" t="s">
        <v>303</v>
      </c>
      <c r="I35" s="5" t="s">
        <v>303</v>
      </c>
      <c r="J35" s="5" t="s">
        <v>303</v>
      </c>
      <c r="K35" s="5" t="s">
        <v>303</v>
      </c>
      <c r="L35" s="5" t="s">
        <v>303</v>
      </c>
      <c r="M35" s="5" t="s">
        <v>303</v>
      </c>
      <c r="N35" s="5" t="s">
        <v>303</v>
      </c>
      <c r="O35" s="5" t="s">
        <v>303</v>
      </c>
      <c r="P35" s="5" t="s">
        <v>303</v>
      </c>
      <c r="Q35" s="5" t="s">
        <v>303</v>
      </c>
      <c r="R35" s="5" t="s">
        <v>179</v>
      </c>
      <c r="S35" s="5" t="s">
        <v>77</v>
      </c>
      <c r="T35" s="5" t="s">
        <v>41</v>
      </c>
      <c r="U35" s="5" t="s">
        <v>41</v>
      </c>
      <c r="V35" s="5" t="s">
        <v>41</v>
      </c>
      <c r="W35" s="5" t="s">
        <v>40</v>
      </c>
      <c r="X35" s="5" t="s">
        <v>40</v>
      </c>
      <c r="Y35" s="5">
        <v>12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3</v>
      </c>
      <c r="AG35" s="5">
        <v>3</v>
      </c>
      <c r="AH35" s="5">
        <v>3</v>
      </c>
      <c r="AI35" s="5">
        <v>4</v>
      </c>
      <c r="AJ35" s="5">
        <v>0</v>
      </c>
      <c r="AK35" s="5" t="s">
        <v>275</v>
      </c>
      <c r="AL35" s="5" t="s">
        <v>275</v>
      </c>
      <c r="AM35" s="5" t="s">
        <v>275</v>
      </c>
      <c r="AN35" s="5" t="s">
        <v>274</v>
      </c>
      <c r="AO35" s="5">
        <v>1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9">
        <v>0</v>
      </c>
      <c r="AX35" s="5">
        <v>3000000</v>
      </c>
      <c r="AY35" s="5">
        <v>250000</v>
      </c>
      <c r="AZ35" s="5">
        <v>1705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</row>
    <row r="36" spans="1:59" x14ac:dyDescent="0.3">
      <c r="A36" s="5" t="s">
        <v>44</v>
      </c>
      <c r="B36" s="2" t="s">
        <v>73</v>
      </c>
      <c r="C36" s="5" t="s">
        <v>67</v>
      </c>
      <c r="D36" s="5" t="s">
        <v>48</v>
      </c>
      <c r="E36" s="5" t="s">
        <v>32</v>
      </c>
      <c r="F36" s="5" t="s">
        <v>182</v>
      </c>
      <c r="G36" s="5" t="s">
        <v>90</v>
      </c>
      <c r="H36" s="5" t="s">
        <v>35</v>
      </c>
      <c r="I36" s="5" t="s">
        <v>103</v>
      </c>
      <c r="J36" s="5" t="s">
        <v>84</v>
      </c>
      <c r="K36" s="5" t="s">
        <v>38</v>
      </c>
      <c r="L36" s="5" t="s">
        <v>52</v>
      </c>
      <c r="M36" s="5" t="s">
        <v>85</v>
      </c>
      <c r="N36" s="5" t="s">
        <v>54</v>
      </c>
      <c r="O36" s="5" t="s">
        <v>42</v>
      </c>
      <c r="P36" s="5" t="s">
        <v>54</v>
      </c>
      <c r="Q36" s="5" t="s">
        <v>40</v>
      </c>
      <c r="R36" s="5" t="s">
        <v>303</v>
      </c>
      <c r="S36" s="5" t="s">
        <v>303</v>
      </c>
      <c r="T36" s="5" t="s">
        <v>40</v>
      </c>
      <c r="U36" s="5" t="s">
        <v>40</v>
      </c>
      <c r="V36" s="5" t="s">
        <v>40</v>
      </c>
      <c r="W36" s="5" t="s">
        <v>40</v>
      </c>
      <c r="X36" s="5" t="s">
        <v>40</v>
      </c>
      <c r="Y36" s="5">
        <v>8</v>
      </c>
      <c r="Z36" s="5">
        <v>15</v>
      </c>
      <c r="AA36" s="5">
        <v>5</v>
      </c>
      <c r="AB36" s="5">
        <v>5</v>
      </c>
      <c r="AC36" s="5">
        <v>5</v>
      </c>
      <c r="AD36" s="5">
        <v>5</v>
      </c>
      <c r="AE36" s="5">
        <v>4</v>
      </c>
      <c r="AF36" s="5">
        <v>4</v>
      </c>
      <c r="AG36" s="5">
        <v>4</v>
      </c>
      <c r="AH36" s="5">
        <v>4</v>
      </c>
      <c r="AI36" s="5">
        <v>4</v>
      </c>
      <c r="AJ36" s="5">
        <v>60</v>
      </c>
      <c r="AK36" s="5" t="s">
        <v>274</v>
      </c>
      <c r="AL36" s="5" t="s">
        <v>274</v>
      </c>
      <c r="AM36" s="5" t="s">
        <v>274</v>
      </c>
      <c r="AN36" s="5" t="s">
        <v>274</v>
      </c>
      <c r="AO36" s="5">
        <v>1</v>
      </c>
      <c r="AP36" s="5">
        <v>4</v>
      </c>
      <c r="AQ36" s="5">
        <v>80</v>
      </c>
      <c r="AR36" s="5">
        <v>56.5</v>
      </c>
      <c r="AS36" s="5">
        <v>5</v>
      </c>
      <c r="AT36" s="5">
        <v>1</v>
      </c>
      <c r="AU36" s="5">
        <v>60</v>
      </c>
      <c r="AV36" s="5">
        <v>4</v>
      </c>
      <c r="AW36" s="9">
        <v>0.8</v>
      </c>
      <c r="AX36" s="5">
        <v>2300000</v>
      </c>
      <c r="AY36" s="5">
        <v>191667</v>
      </c>
      <c r="AZ36" s="5">
        <v>1309</v>
      </c>
      <c r="BA36" s="5">
        <v>5236</v>
      </c>
      <c r="BB36" s="5">
        <v>26180</v>
      </c>
      <c r="BC36" s="5">
        <v>104720</v>
      </c>
      <c r="BD36" s="5">
        <v>1256640</v>
      </c>
      <c r="BE36" s="5">
        <v>1650</v>
      </c>
      <c r="BF36" s="5">
        <v>19800</v>
      </c>
      <c r="BG36" s="5">
        <v>1236840</v>
      </c>
    </row>
    <row r="37" spans="1:59" x14ac:dyDescent="0.3">
      <c r="A37" s="5" t="s">
        <v>27</v>
      </c>
      <c r="B37" s="2" t="s">
        <v>73</v>
      </c>
      <c r="C37" s="5" t="s">
        <v>67</v>
      </c>
      <c r="D37" s="5" t="s">
        <v>48</v>
      </c>
      <c r="E37" s="5" t="s">
        <v>32</v>
      </c>
      <c r="F37" s="5" t="s">
        <v>83</v>
      </c>
      <c r="G37" s="5" t="s">
        <v>50</v>
      </c>
      <c r="H37" s="5" t="s">
        <v>35</v>
      </c>
      <c r="I37" s="5" t="s">
        <v>103</v>
      </c>
      <c r="J37" s="5" t="s">
        <v>53</v>
      </c>
      <c r="K37" s="5" t="s">
        <v>39</v>
      </c>
      <c r="L37" s="5" t="s">
        <v>52</v>
      </c>
      <c r="M37" s="5" t="s">
        <v>37</v>
      </c>
      <c r="N37" s="5" t="s">
        <v>54</v>
      </c>
      <c r="O37" s="5" t="s">
        <v>42</v>
      </c>
      <c r="P37" s="5" t="s">
        <v>54</v>
      </c>
      <c r="Q37" s="5" t="s">
        <v>54</v>
      </c>
      <c r="R37" s="5" t="s">
        <v>303</v>
      </c>
      <c r="S37" s="5" t="s">
        <v>303</v>
      </c>
      <c r="T37" s="5" t="s">
        <v>54</v>
      </c>
      <c r="U37" s="5" t="s">
        <v>42</v>
      </c>
      <c r="V37" s="5" t="s">
        <v>42</v>
      </c>
      <c r="W37" s="5" t="s">
        <v>42</v>
      </c>
      <c r="X37" s="5" t="s">
        <v>54</v>
      </c>
      <c r="Y37" s="5">
        <v>8</v>
      </c>
      <c r="Z37" s="5">
        <v>9.5</v>
      </c>
      <c r="AA37" s="5">
        <v>5</v>
      </c>
      <c r="AB37" s="5">
        <v>5</v>
      </c>
      <c r="AC37" s="5">
        <v>5</v>
      </c>
      <c r="AD37" s="5">
        <v>5</v>
      </c>
      <c r="AE37" s="5">
        <v>5</v>
      </c>
      <c r="AF37" s="5">
        <v>5</v>
      </c>
      <c r="AG37" s="5">
        <v>5</v>
      </c>
      <c r="AH37" s="5">
        <v>5</v>
      </c>
      <c r="AI37" s="5">
        <v>5</v>
      </c>
      <c r="AJ37" s="5">
        <v>17.5</v>
      </c>
      <c r="AK37" s="5" t="s">
        <v>274</v>
      </c>
      <c r="AL37" s="5" t="s">
        <v>274</v>
      </c>
      <c r="AM37" s="5" t="s">
        <v>274</v>
      </c>
      <c r="AN37" s="5" t="s">
        <v>274</v>
      </c>
      <c r="AO37" s="5">
        <v>1</v>
      </c>
      <c r="AP37" s="5">
        <v>2</v>
      </c>
      <c r="AQ37" s="5">
        <v>66.666666666666657</v>
      </c>
      <c r="AR37" s="5">
        <v>45</v>
      </c>
      <c r="AS37" s="5">
        <v>3</v>
      </c>
      <c r="AT37" s="5">
        <v>1</v>
      </c>
      <c r="AU37" s="5">
        <v>37.5</v>
      </c>
      <c r="AV37" s="5">
        <v>2</v>
      </c>
      <c r="AW37" s="9">
        <v>0.66666666666666663</v>
      </c>
      <c r="AX37" s="5">
        <v>2300000</v>
      </c>
      <c r="AY37" s="5">
        <v>191667</v>
      </c>
      <c r="AZ37" s="5">
        <v>1309</v>
      </c>
      <c r="BA37" s="5">
        <v>2618</v>
      </c>
      <c r="BB37" s="5">
        <v>13090</v>
      </c>
      <c r="BC37" s="5">
        <v>52360</v>
      </c>
      <c r="BD37" s="5">
        <v>628320</v>
      </c>
      <c r="BE37" s="5">
        <v>1650</v>
      </c>
      <c r="BF37" s="5">
        <v>19800</v>
      </c>
      <c r="BG37" s="5">
        <v>608520</v>
      </c>
    </row>
    <row r="38" spans="1:59" x14ac:dyDescent="0.3">
      <c r="A38" s="5" t="s">
        <v>44</v>
      </c>
      <c r="B38" s="2" t="s">
        <v>46</v>
      </c>
      <c r="C38" s="5" t="s">
        <v>67</v>
      </c>
      <c r="D38" s="5" t="s">
        <v>48</v>
      </c>
      <c r="E38" s="5" t="s">
        <v>32</v>
      </c>
      <c r="F38" s="5" t="s">
        <v>74</v>
      </c>
      <c r="G38" s="5" t="s">
        <v>50</v>
      </c>
      <c r="H38" s="5" t="s">
        <v>70</v>
      </c>
      <c r="I38" s="5" t="s">
        <v>71</v>
      </c>
      <c r="J38" s="5" t="s">
        <v>53</v>
      </c>
      <c r="K38" s="5" t="s">
        <v>38</v>
      </c>
      <c r="L38" s="5" t="s">
        <v>52</v>
      </c>
      <c r="M38" s="5" t="s">
        <v>37</v>
      </c>
      <c r="N38" s="5" t="s">
        <v>54</v>
      </c>
      <c r="O38" s="5" t="s">
        <v>42</v>
      </c>
      <c r="P38" s="5" t="s">
        <v>54</v>
      </c>
      <c r="Q38" s="5" t="s">
        <v>54</v>
      </c>
      <c r="R38" s="5" t="s">
        <v>303</v>
      </c>
      <c r="S38" s="5" t="s">
        <v>303</v>
      </c>
      <c r="T38" s="5" t="s">
        <v>54</v>
      </c>
      <c r="U38" s="5" t="s">
        <v>42</v>
      </c>
      <c r="V38" s="5" t="s">
        <v>42</v>
      </c>
      <c r="W38" s="5" t="s">
        <v>42</v>
      </c>
      <c r="X38" s="5" t="s">
        <v>54</v>
      </c>
      <c r="Y38" s="5">
        <v>8</v>
      </c>
      <c r="Z38" s="5">
        <v>9.5</v>
      </c>
      <c r="AA38" s="5">
        <v>3</v>
      </c>
      <c r="AB38" s="5">
        <v>5</v>
      </c>
      <c r="AC38" s="5">
        <v>5</v>
      </c>
      <c r="AD38" s="5">
        <v>5</v>
      </c>
      <c r="AE38" s="5">
        <v>5</v>
      </c>
      <c r="AF38" s="5">
        <v>5</v>
      </c>
      <c r="AG38" s="5">
        <v>5</v>
      </c>
      <c r="AH38" s="5">
        <v>5</v>
      </c>
      <c r="AI38" s="5">
        <v>5</v>
      </c>
      <c r="AJ38" s="5">
        <v>17.5</v>
      </c>
      <c r="AK38" s="5" t="s">
        <v>274</v>
      </c>
      <c r="AL38" s="5" t="s">
        <v>274</v>
      </c>
      <c r="AM38" s="5" t="s">
        <v>274</v>
      </c>
      <c r="AN38" s="5" t="s">
        <v>274</v>
      </c>
      <c r="AO38" s="5">
        <v>1</v>
      </c>
      <c r="AP38" s="5">
        <v>4</v>
      </c>
      <c r="AQ38" s="5">
        <v>80</v>
      </c>
      <c r="AR38" s="5">
        <v>48.4</v>
      </c>
      <c r="AS38" s="5">
        <v>5</v>
      </c>
      <c r="AT38" s="5">
        <v>1</v>
      </c>
      <c r="AU38" s="5">
        <v>37.5</v>
      </c>
      <c r="AV38" s="5">
        <v>4</v>
      </c>
      <c r="AW38" s="9">
        <v>0.8</v>
      </c>
      <c r="AX38" s="5">
        <v>1750000</v>
      </c>
      <c r="AY38" s="5">
        <v>145833</v>
      </c>
      <c r="AZ38" s="5">
        <v>994</v>
      </c>
      <c r="BA38" s="5">
        <v>3976</v>
      </c>
      <c r="BB38" s="5">
        <v>19880</v>
      </c>
      <c r="BC38" s="5">
        <v>79520</v>
      </c>
      <c r="BD38" s="5">
        <v>954240</v>
      </c>
      <c r="BE38" s="5">
        <v>1650</v>
      </c>
      <c r="BF38" s="5">
        <v>19800</v>
      </c>
      <c r="BG38" s="5">
        <v>934440</v>
      </c>
    </row>
    <row r="39" spans="1:59" x14ac:dyDescent="0.3">
      <c r="A39" s="5" t="s">
        <v>27</v>
      </c>
      <c r="B39" s="2" t="s">
        <v>57</v>
      </c>
      <c r="C39" s="5" t="s">
        <v>47</v>
      </c>
      <c r="D39" s="5" t="s">
        <v>48</v>
      </c>
      <c r="E39" s="5" t="s">
        <v>32</v>
      </c>
      <c r="F39" s="5" t="s">
        <v>170</v>
      </c>
      <c r="G39" s="5" t="s">
        <v>34</v>
      </c>
      <c r="H39" s="5" t="s">
        <v>70</v>
      </c>
      <c r="I39" s="5" t="s">
        <v>71</v>
      </c>
      <c r="J39" s="5" t="s">
        <v>53</v>
      </c>
      <c r="K39" s="5" t="s">
        <v>38</v>
      </c>
      <c r="L39" s="5" t="s">
        <v>39</v>
      </c>
      <c r="M39" s="5" t="s">
        <v>37</v>
      </c>
      <c r="N39" s="5" t="s">
        <v>54</v>
      </c>
      <c r="O39" s="5" t="s">
        <v>42</v>
      </c>
      <c r="P39" s="5" t="s">
        <v>40</v>
      </c>
      <c r="Q39" s="5" t="s">
        <v>54</v>
      </c>
      <c r="R39" s="5" t="s">
        <v>303</v>
      </c>
      <c r="S39" s="5" t="s">
        <v>303</v>
      </c>
      <c r="T39" s="5" t="s">
        <v>40</v>
      </c>
      <c r="U39" s="5" t="s">
        <v>40</v>
      </c>
      <c r="V39" s="5" t="s">
        <v>40</v>
      </c>
      <c r="W39" s="5" t="s">
        <v>40</v>
      </c>
      <c r="X39" s="5" t="s">
        <v>54</v>
      </c>
      <c r="Y39" s="5">
        <v>4</v>
      </c>
      <c r="Z39" s="5">
        <v>5</v>
      </c>
      <c r="AA39" s="5">
        <v>3</v>
      </c>
      <c r="AB39" s="5">
        <v>5</v>
      </c>
      <c r="AC39" s="5">
        <v>5</v>
      </c>
      <c r="AD39" s="5">
        <v>4</v>
      </c>
      <c r="AE39" s="5">
        <v>5</v>
      </c>
      <c r="AF39" s="5">
        <v>4</v>
      </c>
      <c r="AG39" s="5">
        <v>4</v>
      </c>
      <c r="AH39" s="5">
        <v>4</v>
      </c>
      <c r="AI39" s="5">
        <v>4</v>
      </c>
      <c r="AJ39" s="5">
        <v>17.5</v>
      </c>
      <c r="AK39" s="5" t="s">
        <v>274</v>
      </c>
      <c r="AL39" s="5" t="s">
        <v>274</v>
      </c>
      <c r="AM39" s="5" t="s">
        <v>274</v>
      </c>
      <c r="AN39" s="5" t="s">
        <v>274</v>
      </c>
      <c r="AO39" s="5">
        <v>1</v>
      </c>
      <c r="AP39" s="5">
        <v>2</v>
      </c>
      <c r="AQ39" s="5">
        <v>40</v>
      </c>
      <c r="AR39" s="5">
        <v>35.4</v>
      </c>
      <c r="AS39" s="5">
        <v>5</v>
      </c>
      <c r="AT39" s="5">
        <v>3</v>
      </c>
      <c r="AU39" s="5">
        <v>37.5</v>
      </c>
      <c r="AV39" s="5">
        <v>2</v>
      </c>
      <c r="AW39" s="9">
        <v>0.4</v>
      </c>
      <c r="AX39" s="5">
        <v>1250000</v>
      </c>
      <c r="AY39" s="5">
        <v>104167</v>
      </c>
      <c r="AZ39" s="5">
        <v>710</v>
      </c>
      <c r="BA39" s="5">
        <v>1420</v>
      </c>
      <c r="BB39" s="5">
        <v>7100</v>
      </c>
      <c r="BC39" s="5">
        <v>28400</v>
      </c>
      <c r="BD39" s="5">
        <v>340800</v>
      </c>
      <c r="BE39" s="5">
        <v>1650</v>
      </c>
      <c r="BF39" s="5">
        <v>19800</v>
      </c>
      <c r="BG39" s="5">
        <v>321000</v>
      </c>
    </row>
    <row r="40" spans="1:59" x14ac:dyDescent="0.3">
      <c r="A40" s="5" t="s">
        <v>44</v>
      </c>
      <c r="B40" s="2" t="s">
        <v>73</v>
      </c>
      <c r="C40" s="5" t="s">
        <v>30</v>
      </c>
      <c r="D40" s="5" t="s">
        <v>48</v>
      </c>
      <c r="E40" s="5" t="s">
        <v>32</v>
      </c>
      <c r="F40" s="5" t="s">
        <v>189</v>
      </c>
      <c r="G40" s="5" t="s">
        <v>69</v>
      </c>
      <c r="H40" s="5" t="s">
        <v>35</v>
      </c>
      <c r="I40" s="5" t="s">
        <v>190</v>
      </c>
      <c r="J40" s="5" t="s">
        <v>65</v>
      </c>
      <c r="K40" s="5" t="s">
        <v>52</v>
      </c>
      <c r="L40" s="5" t="s">
        <v>52</v>
      </c>
      <c r="M40" s="5" t="s">
        <v>112</v>
      </c>
      <c r="N40" s="5" t="s">
        <v>40</v>
      </c>
      <c r="O40" s="5" t="s">
        <v>40</v>
      </c>
      <c r="P40" s="5" t="s">
        <v>40</v>
      </c>
      <c r="Q40" s="5" t="s">
        <v>40</v>
      </c>
      <c r="R40" s="5" t="s">
        <v>303</v>
      </c>
      <c r="S40" s="5" t="s">
        <v>303</v>
      </c>
      <c r="T40" s="5" t="s">
        <v>40</v>
      </c>
      <c r="U40" s="5" t="s">
        <v>40</v>
      </c>
      <c r="V40" s="5" t="s">
        <v>40</v>
      </c>
      <c r="W40" s="5" t="s">
        <v>40</v>
      </c>
      <c r="X40" s="5" t="s">
        <v>40</v>
      </c>
      <c r="Y40" s="5">
        <v>1</v>
      </c>
      <c r="Z40" s="5">
        <v>2</v>
      </c>
      <c r="AA40" s="5">
        <v>5</v>
      </c>
      <c r="AB40" s="5">
        <v>4</v>
      </c>
      <c r="AC40" s="5">
        <v>4</v>
      </c>
      <c r="AD40" s="5">
        <v>4</v>
      </c>
      <c r="AE40" s="5">
        <v>4</v>
      </c>
      <c r="AF40" s="5">
        <v>4</v>
      </c>
      <c r="AG40" s="5">
        <v>4</v>
      </c>
      <c r="AH40" s="5">
        <v>4</v>
      </c>
      <c r="AI40" s="5">
        <v>4</v>
      </c>
      <c r="AJ40" s="5">
        <v>5</v>
      </c>
      <c r="AK40" s="5" t="s">
        <v>274</v>
      </c>
      <c r="AL40" s="5" t="s">
        <v>274</v>
      </c>
      <c r="AM40" s="5" t="s">
        <v>274</v>
      </c>
      <c r="AN40" s="5" t="s">
        <v>274</v>
      </c>
      <c r="AO40" s="5">
        <v>1</v>
      </c>
      <c r="AP40" s="5">
        <v>0</v>
      </c>
      <c r="AQ40" s="5">
        <v>0</v>
      </c>
      <c r="AR40" s="5">
        <v>18.5</v>
      </c>
      <c r="AS40" s="5">
        <v>1</v>
      </c>
      <c r="AT40" s="5">
        <v>1</v>
      </c>
      <c r="AU40" s="5">
        <v>5</v>
      </c>
      <c r="AV40" s="5">
        <v>0</v>
      </c>
      <c r="AW40" s="9">
        <v>0</v>
      </c>
      <c r="AX40" s="5">
        <v>500000</v>
      </c>
      <c r="AY40" s="5">
        <v>41667</v>
      </c>
      <c r="AZ40" s="5">
        <v>284</v>
      </c>
      <c r="BA40" s="5">
        <v>0</v>
      </c>
      <c r="BB40" s="5">
        <v>0</v>
      </c>
      <c r="BC40" s="5">
        <v>0</v>
      </c>
      <c r="BD40" s="5">
        <v>0</v>
      </c>
      <c r="BE40" s="5">
        <v>1650</v>
      </c>
      <c r="BF40" s="5">
        <v>19800</v>
      </c>
      <c r="BG40" s="5">
        <v>-19800</v>
      </c>
    </row>
    <row r="41" spans="1:59" x14ac:dyDescent="0.3">
      <c r="A41" s="5" t="s">
        <v>44</v>
      </c>
      <c r="B41" s="2" t="s">
        <v>227</v>
      </c>
      <c r="C41" s="5" t="s">
        <v>47</v>
      </c>
      <c r="D41" s="5" t="s">
        <v>48</v>
      </c>
      <c r="E41" s="5" t="s">
        <v>32</v>
      </c>
      <c r="F41" s="5" t="s">
        <v>193</v>
      </c>
      <c r="G41" s="5" t="s">
        <v>50</v>
      </c>
      <c r="H41" s="5" t="s">
        <v>70</v>
      </c>
      <c r="I41" s="5" t="s">
        <v>194</v>
      </c>
      <c r="J41" s="5" t="s">
        <v>37</v>
      </c>
      <c r="K41" s="5" t="s">
        <v>39</v>
      </c>
      <c r="L41" s="5" t="s">
        <v>52</v>
      </c>
      <c r="M41" s="5" t="s">
        <v>53</v>
      </c>
      <c r="N41" s="5" t="s">
        <v>40</v>
      </c>
      <c r="O41" s="5" t="s">
        <v>41</v>
      </c>
      <c r="P41" s="5" t="s">
        <v>40</v>
      </c>
      <c r="Q41" s="5" t="s">
        <v>40</v>
      </c>
      <c r="R41" s="5" t="s">
        <v>303</v>
      </c>
      <c r="S41" s="5" t="s">
        <v>303</v>
      </c>
      <c r="T41" s="5" t="s">
        <v>40</v>
      </c>
      <c r="U41" s="5" t="s">
        <v>40</v>
      </c>
      <c r="V41" s="5" t="s">
        <v>40</v>
      </c>
      <c r="W41" s="5" t="s">
        <v>40</v>
      </c>
      <c r="X41" s="5" t="s">
        <v>40</v>
      </c>
      <c r="Y41" s="5">
        <v>4</v>
      </c>
      <c r="Z41" s="5">
        <v>9.5</v>
      </c>
      <c r="AA41" s="5">
        <v>3</v>
      </c>
      <c r="AB41" s="5">
        <v>4</v>
      </c>
      <c r="AC41" s="5">
        <v>3</v>
      </c>
      <c r="AD41" s="5">
        <v>4</v>
      </c>
      <c r="AE41" s="5">
        <v>4</v>
      </c>
      <c r="AF41" s="5">
        <v>4</v>
      </c>
      <c r="AG41" s="5">
        <v>4</v>
      </c>
      <c r="AH41" s="5">
        <v>4</v>
      </c>
      <c r="AI41" s="5">
        <v>4</v>
      </c>
      <c r="AJ41" s="5">
        <v>37.5</v>
      </c>
      <c r="AK41" s="5" t="s">
        <v>274</v>
      </c>
      <c r="AL41" s="5" t="s">
        <v>274</v>
      </c>
      <c r="AM41" s="5" t="s">
        <v>274</v>
      </c>
      <c r="AN41" s="5" t="s">
        <v>274</v>
      </c>
      <c r="AO41" s="5">
        <v>1</v>
      </c>
      <c r="AP41" s="5">
        <v>2</v>
      </c>
      <c r="AQ41" s="5">
        <v>66.666666666666657</v>
      </c>
      <c r="AR41" s="5">
        <v>43.4</v>
      </c>
      <c r="AS41" s="5">
        <v>3</v>
      </c>
      <c r="AT41" s="5">
        <v>1</v>
      </c>
      <c r="AU41" s="5">
        <v>17.5</v>
      </c>
      <c r="AV41" s="5">
        <v>2</v>
      </c>
      <c r="AW41" s="9">
        <v>0.66666666666666663</v>
      </c>
      <c r="AX41" s="5">
        <v>1000000</v>
      </c>
      <c r="AY41" s="5">
        <v>83333</v>
      </c>
      <c r="AZ41" s="5">
        <v>568</v>
      </c>
      <c r="BA41" s="5">
        <v>1136</v>
      </c>
      <c r="BB41" s="5">
        <v>5680</v>
      </c>
      <c r="BC41" s="5">
        <v>22720</v>
      </c>
      <c r="BD41" s="5">
        <v>272640</v>
      </c>
      <c r="BE41" s="5">
        <v>1650</v>
      </c>
      <c r="BF41" s="5">
        <v>19800</v>
      </c>
      <c r="BG41" s="5">
        <v>252840</v>
      </c>
    </row>
    <row r="42" spans="1:59" x14ac:dyDescent="0.3">
      <c r="A42" s="5" t="s">
        <v>44</v>
      </c>
      <c r="B42" s="2" t="s">
        <v>62</v>
      </c>
      <c r="C42" s="5" t="s">
        <v>63</v>
      </c>
      <c r="D42" s="5" t="s">
        <v>48</v>
      </c>
      <c r="E42" s="5" t="s">
        <v>32</v>
      </c>
      <c r="F42" s="5" t="s">
        <v>49</v>
      </c>
      <c r="G42" s="5" t="s">
        <v>50</v>
      </c>
      <c r="H42" s="5" t="s">
        <v>35</v>
      </c>
      <c r="I42" s="5" t="s">
        <v>71</v>
      </c>
      <c r="J42" s="5" t="s">
        <v>84</v>
      </c>
      <c r="K42" s="5" t="s">
        <v>39</v>
      </c>
      <c r="L42" s="5" t="s">
        <v>52</v>
      </c>
      <c r="M42" s="5" t="s">
        <v>37</v>
      </c>
      <c r="N42" s="5" t="s">
        <v>40</v>
      </c>
      <c r="O42" s="5" t="s">
        <v>40</v>
      </c>
      <c r="P42" s="5" t="s">
        <v>40</v>
      </c>
      <c r="Q42" s="5" t="s">
        <v>40</v>
      </c>
      <c r="R42" s="5" t="s">
        <v>303</v>
      </c>
      <c r="S42" s="5" t="s">
        <v>303</v>
      </c>
      <c r="T42" s="5" t="s">
        <v>40</v>
      </c>
      <c r="U42" s="5" t="s">
        <v>41</v>
      </c>
      <c r="V42" s="5" t="s">
        <v>40</v>
      </c>
      <c r="W42" s="5" t="s">
        <v>40</v>
      </c>
      <c r="X42" s="5" t="s">
        <v>40</v>
      </c>
      <c r="Y42" s="5">
        <v>12</v>
      </c>
      <c r="Z42" s="5">
        <v>9.5</v>
      </c>
      <c r="AA42" s="5">
        <v>5</v>
      </c>
      <c r="AB42" s="5">
        <v>4</v>
      </c>
      <c r="AC42" s="5">
        <v>4</v>
      </c>
      <c r="AD42" s="5">
        <v>4</v>
      </c>
      <c r="AE42" s="5">
        <v>4</v>
      </c>
      <c r="AF42" s="5">
        <v>4</v>
      </c>
      <c r="AG42" s="5">
        <v>3</v>
      </c>
      <c r="AH42" s="5">
        <v>4</v>
      </c>
      <c r="AI42" s="5">
        <v>4</v>
      </c>
      <c r="AJ42" s="5">
        <v>60</v>
      </c>
      <c r="AK42" s="5" t="s">
        <v>274</v>
      </c>
      <c r="AL42" s="5" t="s">
        <v>275</v>
      </c>
      <c r="AM42" s="5" t="s">
        <v>274</v>
      </c>
      <c r="AN42" s="5" t="s">
        <v>274</v>
      </c>
      <c r="AO42" s="5">
        <v>1</v>
      </c>
      <c r="AP42" s="5">
        <v>2</v>
      </c>
      <c r="AQ42" s="5">
        <v>66.666666666666657</v>
      </c>
      <c r="AR42" s="5">
        <v>49.5</v>
      </c>
      <c r="AS42" s="5">
        <v>3</v>
      </c>
      <c r="AT42" s="5">
        <v>1</v>
      </c>
      <c r="AU42" s="5">
        <v>37.5</v>
      </c>
      <c r="AV42" s="5">
        <v>2</v>
      </c>
      <c r="AW42" s="9">
        <v>0.66666666666666663</v>
      </c>
      <c r="AX42" s="5">
        <v>4000000</v>
      </c>
      <c r="AY42" s="5">
        <v>333333</v>
      </c>
      <c r="AZ42" s="5">
        <v>2273</v>
      </c>
      <c r="BA42" s="5">
        <v>4546</v>
      </c>
      <c r="BB42" s="5">
        <v>22730</v>
      </c>
      <c r="BC42" s="5">
        <v>90920</v>
      </c>
      <c r="BD42" s="5">
        <v>1091040</v>
      </c>
      <c r="BE42" s="5">
        <v>1650</v>
      </c>
      <c r="BF42" s="5">
        <v>19800</v>
      </c>
      <c r="BG42" s="5">
        <v>1071240</v>
      </c>
    </row>
    <row r="43" spans="1:59" x14ac:dyDescent="0.3">
      <c r="A43" s="5" t="s">
        <v>27</v>
      </c>
      <c r="B43" s="2" t="s">
        <v>46</v>
      </c>
      <c r="C43" s="5" t="s">
        <v>67</v>
      </c>
      <c r="D43" s="5" t="s">
        <v>31</v>
      </c>
      <c r="E43" s="5" t="s">
        <v>32</v>
      </c>
      <c r="F43" s="5" t="s">
        <v>33</v>
      </c>
      <c r="G43" s="5" t="s">
        <v>50</v>
      </c>
      <c r="H43" s="5" t="s">
        <v>35</v>
      </c>
      <c r="I43" s="5" t="s">
        <v>71</v>
      </c>
      <c r="J43" s="5" t="s">
        <v>53</v>
      </c>
      <c r="K43" s="5" t="s">
        <v>38</v>
      </c>
      <c r="L43" s="5" t="s">
        <v>39</v>
      </c>
      <c r="M43" s="5" t="s">
        <v>53</v>
      </c>
      <c r="N43" s="5" t="s">
        <v>41</v>
      </c>
      <c r="O43" s="5" t="s">
        <v>41</v>
      </c>
      <c r="P43" s="5" t="s">
        <v>40</v>
      </c>
      <c r="Q43" s="5" t="s">
        <v>40</v>
      </c>
      <c r="R43" s="5" t="s">
        <v>303</v>
      </c>
      <c r="S43" s="5" t="s">
        <v>303</v>
      </c>
      <c r="T43" s="5" t="s">
        <v>41</v>
      </c>
      <c r="U43" s="5" t="s">
        <v>41</v>
      </c>
      <c r="V43" s="5" t="s">
        <v>41</v>
      </c>
      <c r="W43" s="5" t="s">
        <v>40</v>
      </c>
      <c r="X43" s="5" t="s">
        <v>40</v>
      </c>
      <c r="Y43" s="5">
        <v>8</v>
      </c>
      <c r="Z43" s="5">
        <v>9.5</v>
      </c>
      <c r="AA43" s="5">
        <v>5</v>
      </c>
      <c r="AB43" s="5">
        <v>3</v>
      </c>
      <c r="AC43" s="5">
        <v>3</v>
      </c>
      <c r="AD43" s="5">
        <v>4</v>
      </c>
      <c r="AE43" s="5">
        <v>4</v>
      </c>
      <c r="AF43" s="5">
        <v>3</v>
      </c>
      <c r="AG43" s="5">
        <v>3</v>
      </c>
      <c r="AH43" s="5">
        <v>3</v>
      </c>
      <c r="AI43" s="5">
        <v>4</v>
      </c>
      <c r="AJ43" s="5">
        <v>17.5</v>
      </c>
      <c r="AK43" s="5" t="s">
        <v>275</v>
      </c>
      <c r="AL43" s="5" t="s">
        <v>275</v>
      </c>
      <c r="AM43" s="5" t="s">
        <v>275</v>
      </c>
      <c r="AN43" s="5" t="s">
        <v>274</v>
      </c>
      <c r="AO43" s="5">
        <v>1</v>
      </c>
      <c r="AP43" s="5">
        <v>2</v>
      </c>
      <c r="AQ43" s="5">
        <v>40</v>
      </c>
      <c r="AR43" s="5">
        <v>31</v>
      </c>
      <c r="AS43" s="5">
        <v>5</v>
      </c>
      <c r="AT43" s="5">
        <v>3</v>
      </c>
      <c r="AU43" s="5">
        <v>17.5</v>
      </c>
      <c r="AV43" s="5">
        <v>2</v>
      </c>
      <c r="AW43" s="9">
        <v>0.4</v>
      </c>
      <c r="AX43" s="5">
        <v>1750000</v>
      </c>
      <c r="AY43" s="5">
        <v>145833</v>
      </c>
      <c r="AZ43" s="5">
        <v>994</v>
      </c>
      <c r="BA43" s="5">
        <v>1988</v>
      </c>
      <c r="BB43" s="5">
        <v>9940</v>
      </c>
      <c r="BC43" s="5">
        <v>39760</v>
      </c>
      <c r="BD43" s="5">
        <v>477120</v>
      </c>
      <c r="BE43" s="5">
        <v>1650</v>
      </c>
      <c r="BF43" s="5">
        <v>19800</v>
      </c>
      <c r="BG43" s="5">
        <v>457320</v>
      </c>
    </row>
    <row r="44" spans="1:59" x14ac:dyDescent="0.3">
      <c r="A44" s="5" t="s">
        <v>44</v>
      </c>
      <c r="B44" s="2" t="s">
        <v>62</v>
      </c>
      <c r="C44" s="5" t="s">
        <v>63</v>
      </c>
      <c r="D44" s="5" t="s">
        <v>48</v>
      </c>
      <c r="E44" s="5" t="s">
        <v>32</v>
      </c>
      <c r="F44" s="5" t="s">
        <v>33</v>
      </c>
      <c r="G44" s="5" t="s">
        <v>90</v>
      </c>
      <c r="H44" s="5" t="s">
        <v>70</v>
      </c>
      <c r="I44" s="5" t="s">
        <v>199</v>
      </c>
      <c r="J44" s="5" t="s">
        <v>65</v>
      </c>
      <c r="K44" s="5" t="s">
        <v>38</v>
      </c>
      <c r="L44" s="5" t="s">
        <v>39</v>
      </c>
      <c r="M44" s="5" t="s">
        <v>53</v>
      </c>
      <c r="N44" s="5" t="s">
        <v>40</v>
      </c>
      <c r="O44" s="5" t="s">
        <v>40</v>
      </c>
      <c r="P44" s="5" t="s">
        <v>40</v>
      </c>
      <c r="Q44" s="5" t="s">
        <v>40</v>
      </c>
      <c r="R44" s="5" t="s">
        <v>303</v>
      </c>
      <c r="S44" s="5" t="s">
        <v>303</v>
      </c>
      <c r="T44" s="5" t="s">
        <v>40</v>
      </c>
      <c r="U44" s="5" t="s">
        <v>40</v>
      </c>
      <c r="V44" s="5" t="s">
        <v>40</v>
      </c>
      <c r="W44" s="5" t="s">
        <v>40</v>
      </c>
      <c r="X44" s="5" t="s">
        <v>40</v>
      </c>
      <c r="Y44" s="5">
        <v>12</v>
      </c>
      <c r="Z44" s="5">
        <v>15</v>
      </c>
      <c r="AA44" s="5">
        <v>3</v>
      </c>
      <c r="AB44" s="5">
        <v>4</v>
      </c>
      <c r="AC44" s="5">
        <v>4</v>
      </c>
      <c r="AD44" s="5">
        <v>4</v>
      </c>
      <c r="AE44" s="5">
        <v>4</v>
      </c>
      <c r="AF44" s="5">
        <v>4</v>
      </c>
      <c r="AG44" s="5">
        <v>4</v>
      </c>
      <c r="AH44" s="5">
        <v>4</v>
      </c>
      <c r="AI44" s="5">
        <v>4</v>
      </c>
      <c r="AJ44" s="5">
        <v>5</v>
      </c>
      <c r="AK44" s="5" t="s">
        <v>274</v>
      </c>
      <c r="AL44" s="5" t="s">
        <v>274</v>
      </c>
      <c r="AM44" s="5" t="s">
        <v>274</v>
      </c>
      <c r="AN44" s="5" t="s">
        <v>274</v>
      </c>
      <c r="AO44" s="5">
        <v>1</v>
      </c>
      <c r="AP44" s="5">
        <v>2</v>
      </c>
      <c r="AQ44" s="5">
        <v>40</v>
      </c>
      <c r="AR44" s="5">
        <v>29.9</v>
      </c>
      <c r="AS44" s="5">
        <v>5</v>
      </c>
      <c r="AT44" s="5">
        <v>3</v>
      </c>
      <c r="AU44" s="5">
        <v>17.5</v>
      </c>
      <c r="AV44" s="5">
        <v>2</v>
      </c>
      <c r="AW44" s="9">
        <v>0.4</v>
      </c>
      <c r="AX44" s="5">
        <v>4000000</v>
      </c>
      <c r="AY44" s="5">
        <v>333333</v>
      </c>
      <c r="AZ44" s="5">
        <v>2273</v>
      </c>
      <c r="BA44" s="5">
        <v>4546</v>
      </c>
      <c r="BB44" s="5">
        <v>22730</v>
      </c>
      <c r="BC44" s="5">
        <v>90920</v>
      </c>
      <c r="BD44" s="5">
        <v>1091040</v>
      </c>
      <c r="BE44" s="5">
        <v>1650</v>
      </c>
      <c r="BF44" s="5">
        <v>19800</v>
      </c>
      <c r="BG44" s="5">
        <v>1071240</v>
      </c>
    </row>
    <row r="45" spans="1:59" x14ac:dyDescent="0.3">
      <c r="A45" s="5" t="s">
        <v>27</v>
      </c>
      <c r="B45" s="2" t="s">
        <v>108</v>
      </c>
      <c r="C45" s="5" t="s">
        <v>30</v>
      </c>
      <c r="D45" s="5" t="s">
        <v>48</v>
      </c>
      <c r="E45" s="5" t="s">
        <v>98</v>
      </c>
      <c r="F45" s="5" t="s">
        <v>303</v>
      </c>
      <c r="G45" s="5" t="s">
        <v>303</v>
      </c>
      <c r="H45" s="5" t="s">
        <v>303</v>
      </c>
      <c r="I45" s="5" t="s">
        <v>303</v>
      </c>
      <c r="J45" s="5" t="s">
        <v>303</v>
      </c>
      <c r="K45" s="5" t="s">
        <v>303</v>
      </c>
      <c r="L45" s="5" t="s">
        <v>303</v>
      </c>
      <c r="M45" s="5" t="s">
        <v>303</v>
      </c>
      <c r="N45" s="5" t="s">
        <v>303</v>
      </c>
      <c r="O45" s="5" t="s">
        <v>303</v>
      </c>
      <c r="P45" s="5" t="s">
        <v>303</v>
      </c>
      <c r="Q45" s="5" t="s">
        <v>303</v>
      </c>
      <c r="R45" s="5" t="s">
        <v>201</v>
      </c>
      <c r="S45" s="5" t="s">
        <v>54</v>
      </c>
      <c r="T45" s="5" t="s">
        <v>54</v>
      </c>
      <c r="U45" s="5" t="s">
        <v>42</v>
      </c>
      <c r="V45" s="5" t="s">
        <v>42</v>
      </c>
      <c r="W45" s="5" t="s">
        <v>42</v>
      </c>
      <c r="X45" s="5" t="s">
        <v>54</v>
      </c>
      <c r="Y45" s="5">
        <v>1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5</v>
      </c>
      <c r="AG45" s="5">
        <v>5</v>
      </c>
      <c r="AH45" s="5">
        <v>5</v>
      </c>
      <c r="AI45" s="5">
        <v>5</v>
      </c>
      <c r="AJ45" s="5">
        <v>0</v>
      </c>
      <c r="AK45" s="5" t="s">
        <v>274</v>
      </c>
      <c r="AL45" s="5" t="s">
        <v>274</v>
      </c>
      <c r="AM45" s="5" t="s">
        <v>274</v>
      </c>
      <c r="AN45" s="5" t="s">
        <v>274</v>
      </c>
      <c r="AO45" s="5">
        <v>1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9">
        <v>0</v>
      </c>
      <c r="AX45" s="5">
        <v>400000</v>
      </c>
      <c r="AY45" s="5">
        <v>33333</v>
      </c>
      <c r="AZ45" s="5">
        <v>227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</row>
    <row r="46" spans="1:59" x14ac:dyDescent="0.3">
      <c r="A46" s="5" t="s">
        <v>44</v>
      </c>
      <c r="B46" s="2" t="s">
        <v>62</v>
      </c>
      <c r="C46" s="5" t="s">
        <v>63</v>
      </c>
      <c r="D46" s="5" t="s">
        <v>48</v>
      </c>
      <c r="E46" s="5" t="s">
        <v>32</v>
      </c>
      <c r="F46" s="5" t="s">
        <v>58</v>
      </c>
      <c r="G46" s="5" t="s">
        <v>34</v>
      </c>
      <c r="H46" s="5" t="s">
        <v>35</v>
      </c>
      <c r="I46" s="5" t="s">
        <v>36</v>
      </c>
      <c r="J46" s="5" t="s">
        <v>37</v>
      </c>
      <c r="K46" s="5" t="s">
        <v>39</v>
      </c>
      <c r="L46" s="5" t="s">
        <v>52</v>
      </c>
      <c r="M46" s="5" t="s">
        <v>37</v>
      </c>
      <c r="N46" s="5" t="s">
        <v>40</v>
      </c>
      <c r="O46" s="5" t="s">
        <v>40</v>
      </c>
      <c r="P46" s="5" t="s">
        <v>40</v>
      </c>
      <c r="Q46" s="5" t="s">
        <v>40</v>
      </c>
      <c r="R46" s="5" t="s">
        <v>303</v>
      </c>
      <c r="S46" s="5" t="s">
        <v>303</v>
      </c>
      <c r="T46" s="5" t="s">
        <v>40</v>
      </c>
      <c r="U46" s="5" t="s">
        <v>40</v>
      </c>
      <c r="V46" s="5" t="s">
        <v>40</v>
      </c>
      <c r="W46" s="5" t="s">
        <v>40</v>
      </c>
      <c r="X46" s="5" t="s">
        <v>77</v>
      </c>
      <c r="Y46" s="5">
        <v>12</v>
      </c>
      <c r="Z46" s="5">
        <v>5</v>
      </c>
      <c r="AA46" s="5">
        <v>5</v>
      </c>
      <c r="AB46" s="5">
        <v>4</v>
      </c>
      <c r="AC46" s="5">
        <v>4</v>
      </c>
      <c r="AD46" s="5">
        <v>4</v>
      </c>
      <c r="AE46" s="5">
        <v>4</v>
      </c>
      <c r="AF46" s="5">
        <v>4</v>
      </c>
      <c r="AG46" s="5">
        <v>4</v>
      </c>
      <c r="AH46" s="5">
        <v>4</v>
      </c>
      <c r="AI46" s="5">
        <v>4</v>
      </c>
      <c r="AJ46" s="5">
        <v>37.5</v>
      </c>
      <c r="AK46" s="5" t="s">
        <v>274</v>
      </c>
      <c r="AL46" s="5" t="s">
        <v>274</v>
      </c>
      <c r="AM46" s="5" t="s">
        <v>274</v>
      </c>
      <c r="AN46" s="5" t="s">
        <v>274</v>
      </c>
      <c r="AO46" s="5">
        <v>0</v>
      </c>
      <c r="AP46" s="5">
        <v>2</v>
      </c>
      <c r="AQ46" s="5">
        <v>66.666666666666657</v>
      </c>
      <c r="AR46" s="5">
        <v>45</v>
      </c>
      <c r="AS46" s="5">
        <v>3</v>
      </c>
      <c r="AT46" s="5">
        <v>1</v>
      </c>
      <c r="AU46" s="5">
        <v>37.5</v>
      </c>
      <c r="AV46" s="5">
        <v>2</v>
      </c>
      <c r="AW46" s="9">
        <v>0.66666666666666663</v>
      </c>
      <c r="AX46" s="5">
        <v>4000000</v>
      </c>
      <c r="AY46" s="5">
        <v>333333</v>
      </c>
      <c r="AZ46" s="5">
        <v>2273</v>
      </c>
      <c r="BA46" s="5">
        <v>4546</v>
      </c>
      <c r="BB46" s="5">
        <v>22730</v>
      </c>
      <c r="BC46" s="5">
        <v>90920</v>
      </c>
      <c r="BD46" s="5">
        <v>1091040</v>
      </c>
      <c r="BE46" s="5">
        <v>1650</v>
      </c>
      <c r="BF46" s="5">
        <v>19800</v>
      </c>
      <c r="BG46" s="5">
        <v>1071240</v>
      </c>
    </row>
    <row r="47" spans="1:59" x14ac:dyDescent="0.3">
      <c r="A47" s="5" t="s">
        <v>44</v>
      </c>
      <c r="B47" s="2" t="s">
        <v>108</v>
      </c>
      <c r="C47" s="5" t="s">
        <v>67</v>
      </c>
      <c r="D47" s="5" t="s">
        <v>205</v>
      </c>
      <c r="E47" s="5" t="s">
        <v>32</v>
      </c>
      <c r="F47" s="5" t="s">
        <v>206</v>
      </c>
      <c r="G47" s="5" t="s">
        <v>69</v>
      </c>
      <c r="H47" s="5" t="s">
        <v>35</v>
      </c>
      <c r="I47" s="5" t="s">
        <v>154</v>
      </c>
      <c r="J47" s="5" t="s">
        <v>53</v>
      </c>
      <c r="K47" s="5" t="s">
        <v>124</v>
      </c>
      <c r="L47" s="5" t="s">
        <v>39</v>
      </c>
      <c r="M47" s="5" t="s">
        <v>37</v>
      </c>
      <c r="N47" s="5" t="s">
        <v>54</v>
      </c>
      <c r="O47" s="5" t="s">
        <v>42</v>
      </c>
      <c r="P47" s="5" t="s">
        <v>54</v>
      </c>
      <c r="Q47" s="5" t="s">
        <v>54</v>
      </c>
      <c r="R47" s="5" t="s">
        <v>303</v>
      </c>
      <c r="S47" s="5" t="s">
        <v>303</v>
      </c>
      <c r="T47" s="5" t="s">
        <v>54</v>
      </c>
      <c r="U47" s="5" t="s">
        <v>42</v>
      </c>
      <c r="V47" s="5" t="s">
        <v>42</v>
      </c>
      <c r="W47" s="5" t="s">
        <v>42</v>
      </c>
      <c r="X47" s="5" t="s">
        <v>77</v>
      </c>
      <c r="Y47" s="5">
        <v>8</v>
      </c>
      <c r="Z47" s="5">
        <v>2</v>
      </c>
      <c r="AA47" s="5">
        <v>5</v>
      </c>
      <c r="AB47" s="5">
        <v>5</v>
      </c>
      <c r="AC47" s="5">
        <v>5</v>
      </c>
      <c r="AD47" s="5">
        <v>5</v>
      </c>
      <c r="AE47" s="5">
        <v>5</v>
      </c>
      <c r="AF47" s="5">
        <v>5</v>
      </c>
      <c r="AG47" s="5">
        <v>5</v>
      </c>
      <c r="AH47" s="5">
        <v>5</v>
      </c>
      <c r="AI47" s="5">
        <v>5</v>
      </c>
      <c r="AJ47" s="5">
        <v>17.5</v>
      </c>
      <c r="AK47" s="5" t="s">
        <v>274</v>
      </c>
      <c r="AL47" s="5" t="s">
        <v>274</v>
      </c>
      <c r="AM47" s="5" t="s">
        <v>274</v>
      </c>
      <c r="AN47" s="5" t="s">
        <v>274</v>
      </c>
      <c r="AO47" s="5">
        <v>0</v>
      </c>
      <c r="AP47" s="5">
        <v>6</v>
      </c>
      <c r="AQ47" s="5">
        <v>66.666666666666657</v>
      </c>
      <c r="AR47" s="5">
        <v>45</v>
      </c>
      <c r="AS47" s="5">
        <v>9</v>
      </c>
      <c r="AT47" s="5">
        <v>3</v>
      </c>
      <c r="AU47" s="5">
        <v>37.5</v>
      </c>
      <c r="AV47" s="5">
        <v>6</v>
      </c>
      <c r="AW47" s="9">
        <v>0.66666666666666663</v>
      </c>
      <c r="AX47" s="5">
        <v>1500000</v>
      </c>
      <c r="AY47" s="5">
        <v>125000</v>
      </c>
      <c r="AZ47" s="5">
        <v>852</v>
      </c>
      <c r="BA47" s="5">
        <v>5112</v>
      </c>
      <c r="BB47" s="5">
        <v>25560</v>
      </c>
      <c r="BC47" s="5">
        <v>102240</v>
      </c>
      <c r="BD47" s="5">
        <v>1226880</v>
      </c>
      <c r="BE47" s="5">
        <v>1650</v>
      </c>
      <c r="BF47" s="5">
        <v>19800</v>
      </c>
      <c r="BG47" s="5">
        <v>1207080</v>
      </c>
    </row>
    <row r="48" spans="1:59" x14ac:dyDescent="0.3">
      <c r="A48" s="5" t="s">
        <v>27</v>
      </c>
      <c r="B48" s="2" t="s">
        <v>73</v>
      </c>
      <c r="C48" s="5" t="s">
        <v>47</v>
      </c>
      <c r="D48" s="5" t="s">
        <v>48</v>
      </c>
      <c r="E48" s="5" t="s">
        <v>32</v>
      </c>
      <c r="F48" s="5" t="s">
        <v>208</v>
      </c>
      <c r="G48" s="5" t="s">
        <v>69</v>
      </c>
      <c r="H48" s="5" t="s">
        <v>35</v>
      </c>
      <c r="I48" s="5" t="s">
        <v>209</v>
      </c>
      <c r="J48" s="5" t="s">
        <v>65</v>
      </c>
      <c r="K48" s="5" t="s">
        <v>52</v>
      </c>
      <c r="L48" s="5" t="s">
        <v>52</v>
      </c>
      <c r="M48" s="5" t="s">
        <v>37</v>
      </c>
      <c r="N48" s="5" t="s">
        <v>54</v>
      </c>
      <c r="O48" s="5" t="s">
        <v>42</v>
      </c>
      <c r="P48" s="5" t="s">
        <v>54</v>
      </c>
      <c r="Q48" s="5" t="s">
        <v>54</v>
      </c>
      <c r="R48" s="5" t="s">
        <v>303</v>
      </c>
      <c r="S48" s="5" t="s">
        <v>303</v>
      </c>
      <c r="T48" s="5" t="s">
        <v>54</v>
      </c>
      <c r="U48" s="5" t="s">
        <v>42</v>
      </c>
      <c r="V48" s="5" t="s">
        <v>40</v>
      </c>
      <c r="W48" s="5" t="s">
        <v>40</v>
      </c>
      <c r="X48" s="5" t="s">
        <v>40</v>
      </c>
      <c r="Y48" s="5">
        <v>4</v>
      </c>
      <c r="Z48" s="5">
        <v>2</v>
      </c>
      <c r="AA48" s="5">
        <v>5</v>
      </c>
      <c r="AB48" s="5">
        <v>5</v>
      </c>
      <c r="AC48" s="5">
        <v>5</v>
      </c>
      <c r="AD48" s="5">
        <v>5</v>
      </c>
      <c r="AE48" s="5">
        <v>5</v>
      </c>
      <c r="AF48" s="5">
        <v>5</v>
      </c>
      <c r="AG48" s="5">
        <v>5</v>
      </c>
      <c r="AH48" s="5">
        <v>4</v>
      </c>
      <c r="AI48" s="5">
        <v>4</v>
      </c>
      <c r="AJ48" s="5">
        <v>5</v>
      </c>
      <c r="AK48" s="5" t="s">
        <v>274</v>
      </c>
      <c r="AL48" s="5" t="s">
        <v>274</v>
      </c>
      <c r="AM48" s="5" t="s">
        <v>274</v>
      </c>
      <c r="AN48" s="5" t="s">
        <v>274</v>
      </c>
      <c r="AO48" s="5">
        <v>1</v>
      </c>
      <c r="AP48" s="5">
        <v>0</v>
      </c>
      <c r="AQ48" s="5">
        <v>0</v>
      </c>
      <c r="AR48" s="5">
        <v>22.5</v>
      </c>
      <c r="AS48" s="5">
        <v>1</v>
      </c>
      <c r="AT48" s="5">
        <v>1</v>
      </c>
      <c r="AU48" s="5">
        <v>37.5</v>
      </c>
      <c r="AV48" s="5">
        <v>0</v>
      </c>
      <c r="AW48" s="9">
        <v>0</v>
      </c>
      <c r="AX48" s="5">
        <v>1150000</v>
      </c>
      <c r="AY48" s="5">
        <v>95833</v>
      </c>
      <c r="AZ48" s="5">
        <v>653</v>
      </c>
      <c r="BA48" s="5">
        <v>0</v>
      </c>
      <c r="BB48" s="5">
        <v>0</v>
      </c>
      <c r="BC48" s="5">
        <v>0</v>
      </c>
      <c r="BD48" s="5">
        <v>0</v>
      </c>
      <c r="BE48" s="5">
        <v>1650</v>
      </c>
      <c r="BF48" s="5">
        <v>19800</v>
      </c>
      <c r="BG48" s="5">
        <v>-19800</v>
      </c>
    </row>
    <row r="49" spans="1:59" x14ac:dyDescent="0.3">
      <c r="A49" s="5" t="s">
        <v>44</v>
      </c>
      <c r="B49" s="2" t="s">
        <v>73</v>
      </c>
      <c r="C49" s="5" t="s">
        <v>30</v>
      </c>
      <c r="D49" s="5" t="s">
        <v>48</v>
      </c>
      <c r="E49" s="5" t="s">
        <v>98</v>
      </c>
      <c r="F49" s="5" t="s">
        <v>303</v>
      </c>
      <c r="G49" s="5" t="s">
        <v>303</v>
      </c>
      <c r="H49" s="5" t="s">
        <v>303</v>
      </c>
      <c r="I49" s="5" t="s">
        <v>303</v>
      </c>
      <c r="J49" s="5" t="s">
        <v>303</v>
      </c>
      <c r="K49" s="5" t="s">
        <v>303</v>
      </c>
      <c r="L49" s="5" t="s">
        <v>303</v>
      </c>
      <c r="M49" s="5" t="s">
        <v>303</v>
      </c>
      <c r="N49" s="5" t="s">
        <v>303</v>
      </c>
      <c r="O49" s="5" t="s">
        <v>303</v>
      </c>
      <c r="P49" s="5" t="s">
        <v>303</v>
      </c>
      <c r="Q49" s="5" t="s">
        <v>303</v>
      </c>
      <c r="R49" s="5" t="s">
        <v>211</v>
      </c>
      <c r="S49" s="5" t="s">
        <v>54</v>
      </c>
      <c r="T49" s="5" t="s">
        <v>54</v>
      </c>
      <c r="U49" s="5" t="s">
        <v>42</v>
      </c>
      <c r="V49" s="5" t="s">
        <v>42</v>
      </c>
      <c r="W49" s="5" t="s">
        <v>42</v>
      </c>
      <c r="X49" s="5" t="s">
        <v>54</v>
      </c>
      <c r="Y49" s="5">
        <v>1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5</v>
      </c>
      <c r="AG49" s="5">
        <v>5</v>
      </c>
      <c r="AH49" s="5">
        <v>5</v>
      </c>
      <c r="AI49" s="5">
        <v>5</v>
      </c>
      <c r="AJ49" s="5">
        <v>0</v>
      </c>
      <c r="AK49" s="5" t="s">
        <v>274</v>
      </c>
      <c r="AL49" s="5" t="s">
        <v>274</v>
      </c>
      <c r="AM49" s="5" t="s">
        <v>274</v>
      </c>
      <c r="AN49" s="5" t="s">
        <v>274</v>
      </c>
      <c r="AO49" s="5">
        <v>1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9">
        <v>0</v>
      </c>
      <c r="AX49" s="5">
        <v>500000</v>
      </c>
      <c r="AY49" s="5">
        <v>41667</v>
      </c>
      <c r="AZ49" s="5">
        <v>284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</row>
    <row r="50" spans="1:59" x14ac:dyDescent="0.3">
      <c r="A50" s="5" t="s">
        <v>27</v>
      </c>
      <c r="B50" s="2" t="s">
        <v>73</v>
      </c>
      <c r="C50" s="5" t="s">
        <v>47</v>
      </c>
      <c r="D50" s="5" t="s">
        <v>48</v>
      </c>
      <c r="E50" s="5" t="s">
        <v>32</v>
      </c>
      <c r="F50" s="5" t="s">
        <v>213</v>
      </c>
      <c r="G50" s="5" t="s">
        <v>69</v>
      </c>
      <c r="H50" s="5" t="s">
        <v>35</v>
      </c>
      <c r="I50" s="5" t="s">
        <v>214</v>
      </c>
      <c r="J50" s="5" t="s">
        <v>53</v>
      </c>
      <c r="K50" s="5" t="s">
        <v>39</v>
      </c>
      <c r="L50" s="5" t="s">
        <v>52</v>
      </c>
      <c r="M50" s="5" t="s">
        <v>53</v>
      </c>
      <c r="N50" s="5" t="s">
        <v>54</v>
      </c>
      <c r="O50" s="5" t="s">
        <v>42</v>
      </c>
      <c r="P50" s="5" t="s">
        <v>54</v>
      </c>
      <c r="Q50" s="5" t="s">
        <v>54</v>
      </c>
      <c r="R50" s="5" t="s">
        <v>303</v>
      </c>
      <c r="S50" s="5" t="s">
        <v>303</v>
      </c>
      <c r="T50" s="5" t="s">
        <v>54</v>
      </c>
      <c r="U50" s="5" t="s">
        <v>42</v>
      </c>
      <c r="V50" s="5" t="s">
        <v>42</v>
      </c>
      <c r="W50" s="5" t="s">
        <v>42</v>
      </c>
      <c r="X50" s="5" t="s">
        <v>54</v>
      </c>
      <c r="Y50" s="5">
        <v>4</v>
      </c>
      <c r="Z50" s="5">
        <v>2</v>
      </c>
      <c r="AA50" s="5">
        <v>5</v>
      </c>
      <c r="AB50" s="5">
        <v>5</v>
      </c>
      <c r="AC50" s="5">
        <v>5</v>
      </c>
      <c r="AD50" s="5">
        <v>5</v>
      </c>
      <c r="AE50" s="5">
        <v>5</v>
      </c>
      <c r="AF50" s="5">
        <v>5</v>
      </c>
      <c r="AG50" s="5">
        <v>5</v>
      </c>
      <c r="AH50" s="5">
        <v>5</v>
      </c>
      <c r="AI50" s="5">
        <v>5</v>
      </c>
      <c r="AJ50" s="5">
        <v>17.5</v>
      </c>
      <c r="AK50" s="5" t="s">
        <v>274</v>
      </c>
      <c r="AL50" s="5" t="s">
        <v>274</v>
      </c>
      <c r="AM50" s="5" t="s">
        <v>274</v>
      </c>
      <c r="AN50" s="5" t="s">
        <v>274</v>
      </c>
      <c r="AO50" s="5">
        <v>1</v>
      </c>
      <c r="AP50" s="5">
        <v>2</v>
      </c>
      <c r="AQ50" s="5">
        <v>66.666666666666657</v>
      </c>
      <c r="AR50" s="5">
        <v>45</v>
      </c>
      <c r="AS50" s="5">
        <v>3</v>
      </c>
      <c r="AT50" s="5">
        <v>1</v>
      </c>
      <c r="AU50" s="5">
        <v>17.5</v>
      </c>
      <c r="AV50" s="5">
        <v>2</v>
      </c>
      <c r="AW50" s="9">
        <v>0.66666666666666663</v>
      </c>
      <c r="AX50" s="5">
        <v>1150000</v>
      </c>
      <c r="AY50" s="5">
        <v>95833</v>
      </c>
      <c r="AZ50" s="5">
        <v>653</v>
      </c>
      <c r="BA50" s="5">
        <v>1306</v>
      </c>
      <c r="BB50" s="5">
        <v>6530</v>
      </c>
      <c r="BC50" s="5">
        <v>26120</v>
      </c>
      <c r="BD50" s="5">
        <v>313440</v>
      </c>
      <c r="BE50" s="5">
        <v>1650</v>
      </c>
      <c r="BF50" s="5">
        <v>19800</v>
      </c>
      <c r="BG50" s="5">
        <v>293640</v>
      </c>
    </row>
    <row r="51" spans="1:59" x14ac:dyDescent="0.3">
      <c r="A51" s="5" t="s">
        <v>27</v>
      </c>
      <c r="B51" s="2" t="s">
        <v>73</v>
      </c>
      <c r="C51" s="5" t="s">
        <v>47</v>
      </c>
      <c r="D51" s="5" t="s">
        <v>48</v>
      </c>
      <c r="E51" s="5" t="s">
        <v>32</v>
      </c>
      <c r="F51" s="5" t="s">
        <v>83</v>
      </c>
      <c r="G51" s="5" t="s">
        <v>34</v>
      </c>
      <c r="H51" s="5" t="s">
        <v>35</v>
      </c>
      <c r="I51" s="5" t="s">
        <v>190</v>
      </c>
      <c r="J51" s="5" t="s">
        <v>84</v>
      </c>
      <c r="K51" s="5" t="s">
        <v>124</v>
      </c>
      <c r="L51" s="5" t="s">
        <v>39</v>
      </c>
      <c r="M51" s="5" t="s">
        <v>85</v>
      </c>
      <c r="N51" s="5" t="s">
        <v>40</v>
      </c>
      <c r="O51" s="5" t="s">
        <v>40</v>
      </c>
      <c r="P51" s="5" t="s">
        <v>40</v>
      </c>
      <c r="Q51" s="5" t="s">
        <v>40</v>
      </c>
      <c r="R51" s="5" t="s">
        <v>303</v>
      </c>
      <c r="S51" s="5" t="s">
        <v>303</v>
      </c>
      <c r="T51" s="5" t="s">
        <v>40</v>
      </c>
      <c r="U51" s="5" t="s">
        <v>40</v>
      </c>
      <c r="V51" s="5" t="s">
        <v>40</v>
      </c>
      <c r="W51" s="5" t="s">
        <v>40</v>
      </c>
      <c r="X51" s="5" t="s">
        <v>40</v>
      </c>
      <c r="Y51" s="5">
        <v>4</v>
      </c>
      <c r="Z51" s="5">
        <v>5</v>
      </c>
      <c r="AA51" s="5">
        <v>5</v>
      </c>
      <c r="AB51" s="5">
        <v>4</v>
      </c>
      <c r="AC51" s="5">
        <v>4</v>
      </c>
      <c r="AD51" s="5">
        <v>4</v>
      </c>
      <c r="AE51" s="5">
        <v>4</v>
      </c>
      <c r="AF51" s="5">
        <v>4</v>
      </c>
      <c r="AG51" s="5">
        <v>4</v>
      </c>
      <c r="AH51" s="5">
        <v>4</v>
      </c>
      <c r="AI51" s="5">
        <v>4</v>
      </c>
      <c r="AJ51" s="5">
        <v>60</v>
      </c>
      <c r="AK51" s="5" t="s">
        <v>274</v>
      </c>
      <c r="AL51" s="5" t="s">
        <v>274</v>
      </c>
      <c r="AM51" s="5" t="s">
        <v>274</v>
      </c>
      <c r="AN51" s="5" t="s">
        <v>274</v>
      </c>
      <c r="AO51" s="5">
        <v>1</v>
      </c>
      <c r="AP51" s="5">
        <v>6</v>
      </c>
      <c r="AQ51" s="5">
        <v>66.666666666666657</v>
      </c>
      <c r="AR51" s="5">
        <v>49.5</v>
      </c>
      <c r="AS51" s="5">
        <v>9</v>
      </c>
      <c r="AT51" s="5">
        <v>3</v>
      </c>
      <c r="AU51" s="5">
        <v>60</v>
      </c>
      <c r="AV51" s="5">
        <v>6</v>
      </c>
      <c r="AW51" s="9">
        <v>0.66666666666666663</v>
      </c>
      <c r="AX51" s="5">
        <v>1150000</v>
      </c>
      <c r="AY51" s="5">
        <v>95833</v>
      </c>
      <c r="AZ51" s="5">
        <v>653</v>
      </c>
      <c r="BA51" s="5">
        <v>3918</v>
      </c>
      <c r="BB51" s="5">
        <v>19590</v>
      </c>
      <c r="BC51" s="5">
        <v>78360</v>
      </c>
      <c r="BD51" s="5">
        <v>940320</v>
      </c>
      <c r="BE51" s="5">
        <v>1650</v>
      </c>
      <c r="BF51" s="5">
        <v>19800</v>
      </c>
      <c r="BG51" s="5">
        <v>920520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A9F185241E04EA5317A81CD6DC353" ma:contentTypeVersion="6" ma:contentTypeDescription="Create a new document." ma:contentTypeScope="" ma:versionID="1d62008b5578dd502eace67d7f3a9274">
  <xsd:schema xmlns:xsd="http://www.w3.org/2001/XMLSchema" xmlns:xs="http://www.w3.org/2001/XMLSchema" xmlns:p="http://schemas.microsoft.com/office/2006/metadata/properties" xmlns:ns3="b27604e0-c221-49e9-bc86-ade021047e52" targetNamespace="http://schemas.microsoft.com/office/2006/metadata/properties" ma:root="true" ma:fieldsID="dc736843182214db146a21dc35c40b66" ns3:_="">
    <xsd:import namespace="b27604e0-c221-49e9-bc86-ade021047e5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604e0-c221-49e9-bc86-ade021047e5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604e0-c221-49e9-bc86-ade021047e52" xsi:nil="true"/>
  </documentManagement>
</p:properties>
</file>

<file path=customXml/itemProps1.xml><?xml version="1.0" encoding="utf-8"?>
<ds:datastoreItem xmlns:ds="http://schemas.openxmlformats.org/officeDocument/2006/customXml" ds:itemID="{27B67D42-A50F-4616-B8DC-307EA48D9D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604e0-c221-49e9-bc86-ade021047e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735573-B30F-42D1-B194-79CD224593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6938A3-6684-4F78-A9E0-911265A8A5D7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b27604e0-c221-49e9-bc86-ade021047e52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Assessment Response</vt:lpstr>
      <vt:lpstr>Productivity Gain</vt:lpstr>
      <vt:lpstr>Python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SAHU .</dc:creator>
  <cp:lastModifiedBy>ANKITA SAHU .</cp:lastModifiedBy>
  <dcterms:created xsi:type="dcterms:W3CDTF">2026-05-09T11:27:27Z</dcterms:created>
  <dcterms:modified xsi:type="dcterms:W3CDTF">2026-05-28T13:43:02Z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0x010100CC6A9F185241E04EA5317A81CD6DC353</vt:lpwstr>
  </property>
</Properties>
</file>